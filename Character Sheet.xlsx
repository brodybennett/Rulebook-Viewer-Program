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\Desktop\Personal\LOTM TTRPG\LOTM TTRPG Rules, Guide, and Docs\"/>
    </mc:Choice>
  </mc:AlternateContent>
  <xr:revisionPtr revIDLastSave="0" documentId="13_ncr:1_{37FC0990-AA25-4740-A312-09BA780348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aracter Sheet" sheetId="1" r:id="rId1"/>
    <sheet name="Beyonder Abilities" sheetId="2" r:id="rId2"/>
    <sheet name="Adventure Log" sheetId="3" r:id="rId3"/>
    <sheet name="Glossary" sheetId="4" r:id="rId4"/>
    <sheet name="Tables" sheetId="5" r:id="rId5"/>
  </sheets>
  <definedNames>
    <definedName name="_xlnm._FilterDatabase" localSheetId="3" hidden="1">Glossary!$A$1:$D$262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" i="4"/>
  <c r="R24" i="5"/>
  <c r="S24" i="5" s="1"/>
  <c r="P24" i="5"/>
  <c r="Q24" i="5" s="1"/>
  <c r="X73" i="1" s="1"/>
  <c r="O24" i="5"/>
  <c r="R23" i="5"/>
  <c r="S23" i="5" s="1"/>
  <c r="O23" i="5"/>
  <c r="P23" i="5" s="1"/>
  <c r="Q23" i="5" s="1"/>
  <c r="X72" i="1" s="1"/>
  <c r="R22" i="5"/>
  <c r="S22" i="5" s="1"/>
  <c r="O22" i="5"/>
  <c r="P22" i="5" s="1"/>
  <c r="Q22" i="5" s="1"/>
  <c r="J22" i="5"/>
  <c r="I22" i="5"/>
  <c r="G22" i="5"/>
  <c r="R21" i="5"/>
  <c r="S21" i="5" s="1"/>
  <c r="P21" i="5"/>
  <c r="Q21" i="5" s="1"/>
  <c r="X70" i="1" s="1"/>
  <c r="O21" i="5"/>
  <c r="I21" i="5"/>
  <c r="G21" i="5"/>
  <c r="F21" i="5"/>
  <c r="E21" i="5"/>
  <c r="C21" i="5"/>
  <c r="R20" i="5"/>
  <c r="S20" i="5" s="1"/>
  <c r="P20" i="5"/>
  <c r="Q20" i="5" s="1"/>
  <c r="X69" i="1" s="1"/>
  <c r="O20" i="5"/>
  <c r="G20" i="5"/>
  <c r="F20" i="5"/>
  <c r="E20" i="5"/>
  <c r="R19" i="5"/>
  <c r="S19" i="5" s="1"/>
  <c r="P19" i="5"/>
  <c r="Q19" i="5" s="1"/>
  <c r="X68" i="1" s="1"/>
  <c r="O19" i="5"/>
  <c r="G19" i="5"/>
  <c r="F19" i="5"/>
  <c r="E19" i="5"/>
  <c r="AF18" i="5"/>
  <c r="AE18" i="5"/>
  <c r="AD18" i="5"/>
  <c r="AC18" i="5"/>
  <c r="AB18" i="5"/>
  <c r="AA18" i="5"/>
  <c r="Z18" i="5"/>
  <c r="Y18" i="5"/>
  <c r="X18" i="5"/>
  <c r="W18" i="5"/>
  <c r="V18" i="5"/>
  <c r="R18" i="5"/>
  <c r="S18" i="5" s="1"/>
  <c r="O18" i="5"/>
  <c r="P18" i="5" s="1"/>
  <c r="Q18" i="5" s="1"/>
  <c r="X67" i="1" s="1"/>
  <c r="G18" i="5"/>
  <c r="F18" i="5"/>
  <c r="E18" i="5"/>
  <c r="B18" i="5"/>
  <c r="J18" i="5" s="1"/>
  <c r="A18" i="5"/>
  <c r="I18" i="5" s="1"/>
  <c r="R17" i="5"/>
  <c r="S17" i="5" s="1"/>
  <c r="Q17" i="5"/>
  <c r="P17" i="5"/>
  <c r="O17" i="5"/>
  <c r="G17" i="5"/>
  <c r="F17" i="5"/>
  <c r="E17" i="5"/>
  <c r="R16" i="5"/>
  <c r="S16" i="5" s="1"/>
  <c r="O16" i="5"/>
  <c r="P16" i="5" s="1"/>
  <c r="Q16" i="5" s="1"/>
  <c r="G16" i="5"/>
  <c r="F16" i="5"/>
  <c r="E16" i="5"/>
  <c r="R15" i="5"/>
  <c r="S15" i="5" s="1"/>
  <c r="O15" i="5"/>
  <c r="P15" i="5" s="1"/>
  <c r="Q15" i="5" s="1"/>
  <c r="X64" i="1" s="1"/>
  <c r="G15" i="5"/>
  <c r="F15" i="5"/>
  <c r="E15" i="5"/>
  <c r="C15" i="5"/>
  <c r="K15" i="5" s="1"/>
  <c r="B15" i="5"/>
  <c r="J15" i="5" s="1"/>
  <c r="S14" i="5"/>
  <c r="R14" i="5"/>
  <c r="O14" i="5"/>
  <c r="P14" i="5" s="1"/>
  <c r="Q14" i="5" s="1"/>
  <c r="G14" i="5"/>
  <c r="F14" i="5"/>
  <c r="E14" i="5"/>
  <c r="S13" i="5"/>
  <c r="R13" i="5"/>
  <c r="Q13" i="5"/>
  <c r="P13" i="5"/>
  <c r="O13" i="5"/>
  <c r="G13" i="5"/>
  <c r="F13" i="5"/>
  <c r="E13" i="5"/>
  <c r="C13" i="5"/>
  <c r="K13" i="5" s="1"/>
  <c r="B13" i="5"/>
  <c r="J13" i="5" s="1"/>
  <c r="A13" i="5"/>
  <c r="I13" i="5" s="1"/>
  <c r="R12" i="5"/>
  <c r="S12" i="5" s="1"/>
  <c r="O12" i="5"/>
  <c r="P12" i="5" s="1"/>
  <c r="Q12" i="5" s="1"/>
  <c r="X61" i="1" s="1"/>
  <c r="G12" i="5"/>
  <c r="F12" i="5"/>
  <c r="E12" i="5"/>
  <c r="R11" i="5"/>
  <c r="S11" i="5" s="1"/>
  <c r="O11" i="5"/>
  <c r="P11" i="5" s="1"/>
  <c r="Q11" i="5" s="1"/>
  <c r="G11" i="5"/>
  <c r="F11" i="5"/>
  <c r="E11" i="5"/>
  <c r="R10" i="5"/>
  <c r="S10" i="5" s="1"/>
  <c r="Q10" i="5"/>
  <c r="P10" i="5"/>
  <c r="O10" i="5"/>
  <c r="G10" i="5"/>
  <c r="R9" i="5"/>
  <c r="S9" i="5" s="1"/>
  <c r="O9" i="5"/>
  <c r="P9" i="5" s="1"/>
  <c r="Q9" i="5" s="1"/>
  <c r="X58" i="1" s="1"/>
  <c r="N9" i="5"/>
  <c r="T9" i="5" s="1"/>
  <c r="AY27" i="1" s="1"/>
  <c r="G9" i="5"/>
  <c r="C9" i="5"/>
  <c r="K9" i="5" s="1"/>
  <c r="S8" i="5"/>
  <c r="R8" i="5"/>
  <c r="P8" i="5"/>
  <c r="Q8" i="5" s="1"/>
  <c r="X57" i="1" s="1"/>
  <c r="O8" i="5"/>
  <c r="G8" i="5"/>
  <c r="F8" i="5"/>
  <c r="E8" i="5"/>
  <c r="V7" i="5"/>
  <c r="U7" i="5"/>
  <c r="R7" i="5"/>
  <c r="S7" i="5" s="1"/>
  <c r="O7" i="5"/>
  <c r="P7" i="5" s="1"/>
  <c r="Q7" i="5" s="1"/>
  <c r="X56" i="1" s="1"/>
  <c r="G7" i="5"/>
  <c r="F7" i="5"/>
  <c r="E7" i="5"/>
  <c r="A7" i="5"/>
  <c r="I7" i="5" s="1"/>
  <c r="R6" i="5"/>
  <c r="S6" i="5" s="1"/>
  <c r="P6" i="5"/>
  <c r="Q6" i="5" s="1"/>
  <c r="X55" i="1" s="1"/>
  <c r="O6" i="5"/>
  <c r="G6" i="5"/>
  <c r="F6" i="5"/>
  <c r="E6" i="5"/>
  <c r="V5" i="5"/>
  <c r="U5" i="5"/>
  <c r="S5" i="5"/>
  <c r="R5" i="5"/>
  <c r="Q5" i="5"/>
  <c r="P5" i="5"/>
  <c r="O5" i="5"/>
  <c r="G5" i="5"/>
  <c r="F5" i="5"/>
  <c r="E5" i="5"/>
  <c r="C5" i="5"/>
  <c r="K5" i="5" s="1"/>
  <c r="B5" i="5"/>
  <c r="J5" i="5" s="1"/>
  <c r="A5" i="5"/>
  <c r="I5" i="5" s="1"/>
  <c r="V4" i="5"/>
  <c r="S4" i="5"/>
  <c r="R4" i="5"/>
  <c r="Q4" i="5"/>
  <c r="P4" i="5"/>
  <c r="O4" i="5"/>
  <c r="G4" i="5"/>
  <c r="F4" i="5"/>
  <c r="E4" i="5"/>
  <c r="C4" i="5"/>
  <c r="K4" i="5" s="1"/>
  <c r="V3" i="5"/>
  <c r="S3" i="5"/>
  <c r="R3" i="5"/>
  <c r="Q3" i="5"/>
  <c r="P3" i="5"/>
  <c r="O3" i="5"/>
  <c r="G3" i="5"/>
  <c r="F3" i="5"/>
  <c r="E3" i="5"/>
  <c r="C3" i="5"/>
  <c r="K3" i="5" s="1"/>
  <c r="B3" i="5"/>
  <c r="J3" i="5" s="1"/>
  <c r="V2" i="5"/>
  <c r="S2" i="5"/>
  <c r="R2" i="5"/>
  <c r="Q2" i="5"/>
  <c r="P2" i="5"/>
  <c r="O2" i="5"/>
  <c r="G2" i="5"/>
  <c r="F2" i="5"/>
  <c r="E2" i="5"/>
  <c r="C2" i="5"/>
  <c r="K2" i="5" s="1"/>
  <c r="B2" i="5"/>
  <c r="J2" i="5" s="1"/>
  <c r="A2" i="5"/>
  <c r="I2" i="5" s="1"/>
  <c r="V1" i="5"/>
  <c r="S1" i="5"/>
  <c r="R1" i="5"/>
  <c r="O1" i="5"/>
  <c r="P1" i="5" s="1"/>
  <c r="Q1" i="5" s="1"/>
  <c r="G1" i="5"/>
  <c r="F1" i="5"/>
  <c r="E1" i="5"/>
  <c r="I69" i="1"/>
  <c r="G69" i="1"/>
  <c r="D69" i="1"/>
  <c r="B69" i="1"/>
  <c r="AW65" i="1"/>
  <c r="BF64" i="1"/>
  <c r="BC64" i="1"/>
  <c r="AY64" i="1"/>
  <c r="X63" i="1"/>
  <c r="X62" i="1"/>
  <c r="I62" i="1"/>
  <c r="G62" i="1"/>
  <c r="D62" i="1"/>
  <c r="B62" i="1"/>
  <c r="I55" i="1"/>
  <c r="G55" i="1"/>
  <c r="D55" i="1"/>
  <c r="B55" i="1"/>
  <c r="X54" i="1"/>
  <c r="X53" i="1"/>
  <c r="X52" i="1"/>
  <c r="X51" i="1"/>
  <c r="X50" i="1"/>
  <c r="I48" i="1"/>
  <c r="G48" i="1"/>
  <c r="D48" i="1"/>
  <c r="B48" i="1"/>
  <c r="B46" i="1"/>
  <c r="BL45" i="1"/>
  <c r="AW45" i="1" s="1"/>
  <c r="C22" i="5" s="1"/>
  <c r="K22" i="5" s="1"/>
  <c r="BL44" i="1"/>
  <c r="BK44" i="1"/>
  <c r="BJ44" i="1"/>
  <c r="AW44" i="1"/>
  <c r="AE44" i="1"/>
  <c r="B21" i="5" s="1"/>
  <c r="J21" i="5" s="1"/>
  <c r="M44" i="1"/>
  <c r="A21" i="5" s="1"/>
  <c r="BL43" i="1"/>
  <c r="AW43" i="1" s="1"/>
  <c r="C20" i="5" s="1"/>
  <c r="K20" i="5" s="1"/>
  <c r="BK43" i="1"/>
  <c r="AE43" i="1" s="1"/>
  <c r="B20" i="5" s="1"/>
  <c r="J20" i="5" s="1"/>
  <c r="BJ43" i="1"/>
  <c r="M43" i="1" s="1"/>
  <c r="A20" i="5" s="1"/>
  <c r="I20" i="5" s="1"/>
  <c r="BL42" i="1"/>
  <c r="BK42" i="1"/>
  <c r="BJ42" i="1"/>
  <c r="AW42" i="1"/>
  <c r="C19" i="5" s="1"/>
  <c r="K19" i="5" s="1"/>
  <c r="AE42" i="1"/>
  <c r="B19" i="5" s="1"/>
  <c r="J19" i="5" s="1"/>
  <c r="M42" i="1"/>
  <c r="A19" i="5" s="1"/>
  <c r="I19" i="5" s="1"/>
  <c r="BL41" i="1"/>
  <c r="AW41" i="1" s="1"/>
  <c r="C18" i="5" s="1"/>
  <c r="K18" i="5" s="1"/>
  <c r="AY41" i="1" s="1"/>
  <c r="BK41" i="1"/>
  <c r="AE41" i="1" s="1"/>
  <c r="BJ41" i="1"/>
  <c r="M41" i="1" s="1"/>
  <c r="BL40" i="1"/>
  <c r="AW40" i="1" s="1"/>
  <c r="C17" i="5" s="1"/>
  <c r="K17" i="5" s="1"/>
  <c r="BK40" i="1"/>
  <c r="AE40" i="1" s="1"/>
  <c r="B17" i="5" s="1"/>
  <c r="J17" i="5" s="1"/>
  <c r="BJ40" i="1"/>
  <c r="M40" i="1"/>
  <c r="A17" i="5" s="1"/>
  <c r="I17" i="5" s="1"/>
  <c r="BL39" i="1"/>
  <c r="BK39" i="1"/>
  <c r="BJ39" i="1"/>
  <c r="M39" i="1" s="1"/>
  <c r="A16" i="5" s="1"/>
  <c r="I16" i="5" s="1"/>
  <c r="AW39" i="1"/>
  <c r="C16" i="5" s="1"/>
  <c r="K16" i="5" s="1"/>
  <c r="AE39" i="1"/>
  <c r="B16" i="5" s="1"/>
  <c r="J16" i="5" s="1"/>
  <c r="BL38" i="1"/>
  <c r="AW38" i="1" s="1"/>
  <c r="BK38" i="1"/>
  <c r="AE38" i="1" s="1"/>
  <c r="BJ38" i="1"/>
  <c r="M38" i="1" s="1"/>
  <c r="A15" i="5" s="1"/>
  <c r="I15" i="5" s="1"/>
  <c r="BL37" i="1"/>
  <c r="BK37" i="1"/>
  <c r="BJ37" i="1"/>
  <c r="AW37" i="1"/>
  <c r="C14" i="5" s="1"/>
  <c r="K14" i="5" s="1"/>
  <c r="AE37" i="1"/>
  <c r="B14" i="5" s="1"/>
  <c r="J14" i="5" s="1"/>
  <c r="M37" i="1"/>
  <c r="A14" i="5" s="1"/>
  <c r="I14" i="5" s="1"/>
  <c r="BL36" i="1"/>
  <c r="BK36" i="1"/>
  <c r="BJ36" i="1"/>
  <c r="M36" i="1" s="1"/>
  <c r="AW36" i="1"/>
  <c r="AE36" i="1"/>
  <c r="BL35" i="1"/>
  <c r="BK35" i="1"/>
  <c r="BJ35" i="1"/>
  <c r="AW35" i="1"/>
  <c r="C12" i="5" s="1"/>
  <c r="K12" i="5" s="1"/>
  <c r="AE35" i="1"/>
  <c r="B12" i="5" s="1"/>
  <c r="J12" i="5" s="1"/>
  <c r="M35" i="1"/>
  <c r="A12" i="5" s="1"/>
  <c r="I12" i="5" s="1"/>
  <c r="O35" i="1" s="1"/>
  <c r="BL34" i="1"/>
  <c r="AW34" i="1" s="1"/>
  <c r="C11" i="5" s="1"/>
  <c r="K11" i="5" s="1"/>
  <c r="BK34" i="1"/>
  <c r="AE34" i="1" s="1"/>
  <c r="B11" i="5" s="1"/>
  <c r="J11" i="5" s="1"/>
  <c r="BJ34" i="1"/>
  <c r="M34" i="1" s="1"/>
  <c r="A11" i="5" s="1"/>
  <c r="I11" i="5" s="1"/>
  <c r="BL33" i="1"/>
  <c r="AW33" i="1"/>
  <c r="C10" i="5" s="1"/>
  <c r="K10" i="5" s="1"/>
  <c r="BL32" i="1"/>
  <c r="AW32" i="1"/>
  <c r="BL31" i="1"/>
  <c r="AW31" i="1" s="1"/>
  <c r="C8" i="5" s="1"/>
  <c r="K8" i="5" s="1"/>
  <c r="BK31" i="1"/>
  <c r="AE31" i="1" s="1"/>
  <c r="AT69" i="1" s="1"/>
  <c r="BJ31" i="1"/>
  <c r="M31" i="1" s="1"/>
  <c r="A8" i="5" s="1"/>
  <c r="I8" i="5" s="1"/>
  <c r="BL30" i="1"/>
  <c r="AW30" i="1" s="1"/>
  <c r="C7" i="5" s="1"/>
  <c r="K7" i="5" s="1"/>
  <c r="BK30" i="1"/>
  <c r="AE30" i="1" s="1"/>
  <c r="B7" i="5" s="1"/>
  <c r="J7" i="5" s="1"/>
  <c r="BJ30" i="1"/>
  <c r="M30" i="1"/>
  <c r="BL29" i="1"/>
  <c r="BK29" i="1"/>
  <c r="BJ29" i="1"/>
  <c r="M29" i="1" s="1"/>
  <c r="A6" i="5" s="1"/>
  <c r="I6" i="5" s="1"/>
  <c r="AW29" i="1"/>
  <c r="C6" i="5" s="1"/>
  <c r="K6" i="5" s="1"/>
  <c r="AY29" i="1" s="1"/>
  <c r="AE29" i="1"/>
  <c r="B6" i="5" s="1"/>
  <c r="J6" i="5" s="1"/>
  <c r="BL28" i="1"/>
  <c r="AW28" i="1" s="1"/>
  <c r="BK28" i="1"/>
  <c r="AE28" i="1" s="1"/>
  <c r="BJ28" i="1"/>
  <c r="M28" i="1" s="1"/>
  <c r="BL27" i="1"/>
  <c r="BK27" i="1"/>
  <c r="BJ27" i="1"/>
  <c r="AW27" i="1"/>
  <c r="AE27" i="1"/>
  <c r="B4" i="5" s="1"/>
  <c r="J4" i="5" s="1"/>
  <c r="M27" i="1"/>
  <c r="A4" i="5" s="1"/>
  <c r="I4" i="5" s="1"/>
  <c r="BL26" i="1"/>
  <c r="BK26" i="1"/>
  <c r="BJ26" i="1"/>
  <c r="M26" i="1" s="1"/>
  <c r="A3" i="5" s="1"/>
  <c r="I3" i="5" s="1"/>
  <c r="AW26" i="1"/>
  <c r="AE26" i="1"/>
  <c r="BL25" i="1"/>
  <c r="BK25" i="1"/>
  <c r="BJ25" i="1"/>
  <c r="AW25" i="1"/>
  <c r="AE25" i="1"/>
  <c r="M25" i="1"/>
  <c r="BL24" i="1"/>
  <c r="AW24" i="1" s="1"/>
  <c r="C1" i="5" s="1"/>
  <c r="K1" i="5" s="1"/>
  <c r="BK24" i="1"/>
  <c r="AE24" i="1" s="1"/>
  <c r="B1" i="5" s="1"/>
  <c r="J1" i="5" s="1"/>
  <c r="BJ24" i="1"/>
  <c r="M24" i="1" s="1"/>
  <c r="A1" i="5" s="1"/>
  <c r="I1" i="5" s="1"/>
  <c r="V13" i="1"/>
  <c r="R12" i="1"/>
  <c r="AI7" i="1"/>
  <c r="AL22" i="1" s="1"/>
  <c r="AE7" i="1"/>
  <c r="T7" i="1"/>
  <c r="X7" i="1" s="1"/>
  <c r="AE6" i="1"/>
  <c r="N8" i="5" s="1"/>
  <c r="T8" i="5" s="1"/>
  <c r="T6" i="1"/>
  <c r="X6" i="1" s="1"/>
  <c r="B16" i="1" s="1"/>
  <c r="AE5" i="1"/>
  <c r="T5" i="1"/>
  <c r="N3" i="5" s="1"/>
  <c r="T3" i="5" s="1"/>
  <c r="AI4" i="1"/>
  <c r="T22" i="1" s="1"/>
  <c r="AE4" i="1"/>
  <c r="N6" i="5" s="1"/>
  <c r="T4" i="1"/>
  <c r="BI58" i="1" s="1"/>
  <c r="X4" i="1" s="1"/>
  <c r="O2" i="1"/>
  <c r="B22" i="1" l="1"/>
  <c r="S18" i="1"/>
  <c r="X71" i="1"/>
  <c r="E10" i="1"/>
  <c r="B10" i="1"/>
  <c r="O39" i="1"/>
  <c r="O41" i="1"/>
  <c r="O43" i="1"/>
  <c r="O40" i="1"/>
  <c r="O34" i="1"/>
  <c r="O42" i="1"/>
  <c r="O36" i="1"/>
  <c r="O38" i="1"/>
  <c r="O37" i="1"/>
  <c r="X5" i="1"/>
  <c r="X66" i="1"/>
  <c r="AI5" i="1"/>
  <c r="T32" i="1" s="1"/>
  <c r="N7" i="5"/>
  <c r="R11" i="1"/>
  <c r="X60" i="1"/>
  <c r="E16" i="1"/>
  <c r="AY39" i="1"/>
  <c r="AY31" i="1"/>
  <c r="X65" i="1"/>
  <c r="X59" i="1"/>
  <c r="AW68" i="1"/>
  <c r="B8" i="5"/>
  <c r="J8" i="5" s="1"/>
  <c r="AW67" i="1"/>
  <c r="AT58" i="1"/>
  <c r="BC66" i="1"/>
  <c r="AY43" i="1"/>
  <c r="AY34" i="1"/>
  <c r="AY24" i="1"/>
  <c r="AY36" i="1"/>
  <c r="AY26" i="1"/>
  <c r="AY44" i="1"/>
  <c r="AY32" i="1"/>
  <c r="AY25" i="1"/>
  <c r="AY37" i="1"/>
  <c r="AY35" i="1"/>
  <c r="AY38" i="1"/>
  <c r="AY28" i="1"/>
  <c r="AY45" i="1"/>
  <c r="AY40" i="1"/>
  <c r="AY30" i="1"/>
  <c r="AY33" i="1"/>
  <c r="AY42" i="1"/>
  <c r="O44" i="1"/>
  <c r="AA2" i="5"/>
  <c r="AB2" i="5" s="1"/>
  <c r="AD2" i="5" s="1"/>
  <c r="U6" i="5" s="1"/>
  <c r="V6" i="5" s="1"/>
  <c r="T6" i="5"/>
  <c r="K21" i="5"/>
  <c r="AI6" i="1"/>
  <c r="N2" i="5"/>
  <c r="T2" i="5" s="1"/>
  <c r="N4" i="5"/>
  <c r="T4" i="5" s="1"/>
  <c r="N5" i="5"/>
  <c r="T5" i="5" s="1"/>
  <c r="AE58" i="1"/>
  <c r="L10" i="1" l="1"/>
  <c r="I10" i="1"/>
  <c r="O29" i="1"/>
  <c r="O31" i="1"/>
  <c r="O30" i="1"/>
  <c r="O24" i="1"/>
  <c r="O28" i="1"/>
  <c r="O26" i="1"/>
  <c r="O25" i="1"/>
  <c r="O27" i="1"/>
  <c r="R10" i="1"/>
  <c r="B32" i="1"/>
  <c r="R13" i="1"/>
  <c r="AA10" i="5"/>
  <c r="AB10" i="5" s="1"/>
  <c r="AD10" i="5" s="1"/>
  <c r="AA12" i="5"/>
  <c r="AB12" i="5" s="1"/>
  <c r="T7" i="5"/>
  <c r="AA4" i="5"/>
  <c r="AB4" i="5" s="1"/>
  <c r="AD4" i="5" s="1"/>
  <c r="AA3" i="5"/>
  <c r="AB3" i="5" s="1"/>
  <c r="AD3" i="5" s="1"/>
  <c r="AA13" i="5"/>
  <c r="AB13" i="5" s="1"/>
  <c r="AA14" i="5"/>
  <c r="AB14" i="5" s="1"/>
  <c r="AA9" i="5"/>
  <c r="AB9" i="5" s="1"/>
  <c r="AD9" i="5" s="1"/>
  <c r="AA15" i="5"/>
  <c r="AB15" i="5" s="1"/>
  <c r="AA5" i="5"/>
  <c r="AB5" i="5" s="1"/>
  <c r="AD5" i="5" s="1"/>
  <c r="AA6" i="5"/>
  <c r="AB6" i="5" s="1"/>
  <c r="AD6" i="5" s="1"/>
  <c r="AA11" i="5"/>
  <c r="AB11" i="5" s="1"/>
  <c r="AD11" i="5" s="1"/>
  <c r="AA8" i="5"/>
  <c r="AB8" i="5" s="1"/>
  <c r="AD8" i="5" s="1"/>
  <c r="AA7" i="5"/>
  <c r="AB7" i="5" s="1"/>
  <c r="AD7" i="5" s="1"/>
  <c r="L16" i="1"/>
  <c r="I16" i="1"/>
  <c r="AG31" i="1"/>
  <c r="AG24" i="1"/>
  <c r="AG26" i="1"/>
  <c r="AG30" i="1"/>
  <c r="AG28" i="1"/>
  <c r="AG29" i="1"/>
  <c r="AG27" i="1"/>
  <c r="AG25" i="1"/>
  <c r="R16" i="1"/>
  <c r="AC13" i="5" l="1"/>
  <c r="AD13" i="5"/>
  <c r="AD12" i="5"/>
  <c r="AC12" i="5"/>
  <c r="AC14" i="5"/>
  <c r="AD14" i="5" s="1"/>
  <c r="AG41" i="1"/>
  <c r="AG43" i="1"/>
  <c r="AG34" i="1"/>
  <c r="AG44" i="1"/>
  <c r="AG36" i="1"/>
  <c r="AG40" i="1"/>
  <c r="AG42" i="1"/>
  <c r="AG38" i="1"/>
  <c r="AG37" i="1"/>
  <c r="AG35" i="1"/>
  <c r="AG39" i="1"/>
  <c r="AC15" i="5"/>
  <c r="AD15" i="5" s="1"/>
</calcChain>
</file>

<file path=xl/sharedStrings.xml><?xml version="1.0" encoding="utf-8"?>
<sst xmlns="http://schemas.openxmlformats.org/spreadsheetml/2006/main" count="1325" uniqueCount="666">
  <si>
    <t>Basic Info</t>
  </si>
  <si>
    <t>Portrait</t>
  </si>
  <si>
    <t>Digestion</t>
  </si>
  <si>
    <t>Damage Bonus</t>
  </si>
  <si>
    <t>Name</t>
  </si>
  <si>
    <t>Base</t>
  </si>
  <si>
    <t>Beyonder</t>
  </si>
  <si>
    <t>Adjustment</t>
  </si>
  <si>
    <t>Final</t>
  </si>
  <si>
    <t>Sequence</t>
  </si>
  <si>
    <t>Digestion %</t>
  </si>
  <si>
    <t>Characteristics</t>
  </si>
  <si>
    <t>Strength (STR)</t>
  </si>
  <si>
    <t>Value</t>
  </si>
  <si>
    <t>Player</t>
  </si>
  <si>
    <t>Race</t>
  </si>
  <si>
    <t>Charisma (CHA)</t>
  </si>
  <si>
    <t>Sequence 9</t>
  </si>
  <si>
    <t>Age</t>
  </si>
  <si>
    <t>Gender</t>
  </si>
  <si>
    <t>Agility (DEX)</t>
  </si>
  <si>
    <t>Intuition (INT)</t>
  </si>
  <si>
    <t>Sequence 8</t>
  </si>
  <si>
    <t>1D2</t>
  </si>
  <si>
    <t>Occupation</t>
  </si>
  <si>
    <t>Rank</t>
  </si>
  <si>
    <t>Mortal</t>
  </si>
  <si>
    <t>Willpower (WIL)</t>
  </si>
  <si>
    <t>Luck</t>
  </si>
  <si>
    <t>Sequence 7</t>
  </si>
  <si>
    <t>1D4</t>
  </si>
  <si>
    <t>Pathway</t>
  </si>
  <si>
    <t>None</t>
  </si>
  <si>
    <t>Constitution (CON)</t>
  </si>
  <si>
    <t>Education</t>
  </si>
  <si>
    <t>Sequence 6</t>
  </si>
  <si>
    <t>1D6</t>
  </si>
  <si>
    <t>Sequence 5</t>
  </si>
  <si>
    <t>1D8</t>
  </si>
  <si>
    <t>Vitality</t>
  </si>
  <si>
    <t>Spirituality</t>
  </si>
  <si>
    <t>Defense</t>
  </si>
  <si>
    <t>Beyonder Attributes</t>
  </si>
  <si>
    <t>Sequence 4</t>
  </si>
  <si>
    <t>1D10</t>
  </si>
  <si>
    <t>Physics</t>
  </si>
  <si>
    <t>Extra</t>
  </si>
  <si>
    <t>Sequence 3</t>
  </si>
  <si>
    <t>1D12</t>
  </si>
  <si>
    <t>Sequence 2</t>
  </si>
  <si>
    <t>2D6</t>
  </si>
  <si>
    <t>Cost</t>
  </si>
  <si>
    <t>Resilience</t>
  </si>
  <si>
    <t>Sequence 1</t>
  </si>
  <si>
    <t>2D8</t>
  </si>
  <si>
    <t>Ignore Armor</t>
  </si>
  <si>
    <t>Ignore Dodge</t>
  </si>
  <si>
    <t>Sequence 0</t>
  </si>
  <si>
    <t>2D10</t>
  </si>
  <si>
    <t>2D12</t>
  </si>
  <si>
    <t>Sanity / Rationality</t>
  </si>
  <si>
    <t>Other Notes</t>
  </si>
  <si>
    <t>3D8</t>
  </si>
  <si>
    <t>Movement</t>
  </si>
  <si>
    <t>Beyonder Strength Beyond Limits</t>
  </si>
  <si>
    <t>3D10</t>
  </si>
  <si>
    <t>Armor</t>
  </si>
  <si>
    <t>3D12</t>
  </si>
  <si>
    <t>4D10</t>
  </si>
  <si>
    <t>Demi-Mythical Creature Mode</t>
  </si>
  <si>
    <t>×</t>
  </si>
  <si>
    <t>4D12</t>
  </si>
  <si>
    <t>Skills</t>
  </si>
  <si>
    <t>Knowledge</t>
  </si>
  <si>
    <t>Law</t>
  </si>
  <si>
    <t>Skill</t>
  </si>
  <si>
    <t>Proficiency</t>
  </si>
  <si>
    <t>Roll</t>
  </si>
  <si>
    <t>Archaeology</t>
  </si>
  <si>
    <t>Climbing</t>
  </si>
  <si>
    <t>Charm</t>
  </si>
  <si>
    <t>Navigation</t>
  </si>
  <si>
    <t>Religion</t>
  </si>
  <si>
    <t>Throwing</t>
  </si>
  <si>
    <t>Deception</t>
  </si>
  <si>
    <t>Trade</t>
  </si>
  <si>
    <t>Chemistry</t>
  </si>
  <si>
    <t>Fighting:</t>
  </si>
  <si>
    <t>Melee</t>
  </si>
  <si>
    <t>Fast Talk</t>
  </si>
  <si>
    <t>Medicine</t>
  </si>
  <si>
    <t>Biology</t>
  </si>
  <si>
    <t>Persuade</t>
  </si>
  <si>
    <t>Library Use</t>
  </si>
  <si>
    <t>Pharmacy</t>
  </si>
  <si>
    <t>Psychoanalysis</t>
  </si>
  <si>
    <t>Writing</t>
  </si>
  <si>
    <t>Sociology</t>
  </si>
  <si>
    <t>Intimidation</t>
  </si>
  <si>
    <t>Performance</t>
  </si>
  <si>
    <t>Demolitions</t>
  </si>
  <si>
    <t>Astronomy</t>
  </si>
  <si>
    <t>Jumping</t>
  </si>
  <si>
    <t>Disguise</t>
  </si>
  <si>
    <t>Survival</t>
  </si>
  <si>
    <t>Botany</t>
  </si>
  <si>
    <t>Animal Handling</t>
  </si>
  <si>
    <t>Reputation</t>
  </si>
  <si>
    <t>Natural World</t>
  </si>
  <si>
    <t>Agriculture</t>
  </si>
  <si>
    <t>Knowledge:</t>
  </si>
  <si>
    <t>History</t>
  </si>
  <si>
    <t>Engineering</t>
  </si>
  <si>
    <t>Stealth</t>
  </si>
  <si>
    <t>Listen</t>
  </si>
  <si>
    <t>Sleight of Hand</t>
  </si>
  <si>
    <t>Investigation</t>
  </si>
  <si>
    <t>Swimming</t>
  </si>
  <si>
    <t>Mechanical Repair</t>
  </si>
  <si>
    <t>Shooting:</t>
  </si>
  <si>
    <t>Mysticism</t>
  </si>
  <si>
    <t>Psychology</t>
  </si>
  <si>
    <t>Mystic Languages:</t>
  </si>
  <si>
    <t>Cooking</t>
  </si>
  <si>
    <t>Artillery</t>
  </si>
  <si>
    <t>Art:</t>
  </si>
  <si>
    <t>Lockpicking</t>
  </si>
  <si>
    <t>Driving</t>
  </si>
  <si>
    <t>Common Languages:</t>
  </si>
  <si>
    <t>Heavy Machinery</t>
  </si>
  <si>
    <t>Track</t>
  </si>
  <si>
    <t>Dodge</t>
  </si>
  <si>
    <t>Lip Reading</t>
  </si>
  <si>
    <t>Extra Dodge</t>
  </si>
  <si>
    <t>Editable Here</t>
  </si>
  <si>
    <t>Extra Energy Pool</t>
  </si>
  <si>
    <t>Extra Skills</t>
  </si>
  <si>
    <t>Proficiency Bonus</t>
  </si>
  <si>
    <t>Fighting</t>
  </si>
  <si>
    <t>Shooting</t>
  </si>
  <si>
    <t>Art</t>
  </si>
  <si>
    <t>Mystic Languages</t>
  </si>
  <si>
    <t>Common Languages</t>
  </si>
  <si>
    <t>This table is for extra knowledge granted by Beyonder pathways or other special special uses.</t>
  </si>
  <si>
    <t>Level</t>
  </si>
  <si>
    <t>Modifier</t>
  </si>
  <si>
    <t>Required Skill Points</t>
  </si>
  <si>
    <t>Handgun</t>
  </si>
  <si>
    <t>Singing</t>
  </si>
  <si>
    <t>Hermes Language</t>
  </si>
  <si>
    <t>Loen</t>
  </si>
  <si>
    <t>Key Attribute</t>
  </si>
  <si>
    <t>Points</t>
  </si>
  <si>
    <t>Untrained</t>
  </si>
  <si>
    <t>Poor — only ~20 suleys, or even penniless.</t>
  </si>
  <si>
    <t>Swordsmanship</t>
  </si>
  <si>
    <t>20，，，1d20，，，，1d20。
：。</t>
  </si>
  <si>
    <t>Rifle</t>
  </si>
  <si>
    <t>Music Theory</t>
  </si>
  <si>
    <t>Ancient Hermes Language</t>
  </si>
  <si>
    <t>Intis</t>
  </si>
  <si>
    <t>Max</t>
  </si>
  <si>
    <t>Trained</t>
  </si>
  <si>
    <t>Average — can produce about 5 pounds.</t>
  </si>
  <si>
    <t>Polearm</t>
  </si>
  <si>
    <t>1d5，1d10，，。
：3。</t>
  </si>
  <si>
    <t>Shotgun</t>
  </si>
  <si>
    <t>Painting</t>
  </si>
  <si>
    <t>Ancient Feysac</t>
  </si>
  <si>
    <t>Feysac</t>
  </si>
  <si>
    <t>Proficient</t>
  </si>
  <si>
    <t>Rich — can produce about 100 pounds.</t>
  </si>
  <si>
    <t>Heavy Weapon</t>
  </si>
  <si>
    <t>1d20，2d50，，。
：50。</t>
  </si>
  <si>
    <t>Crossbow</t>
  </si>
  <si>
    <t>Crafting</t>
  </si>
  <si>
    <t>Giant</t>
  </si>
  <si>
    <t>Dutan</t>
  </si>
  <si>
    <t>Advanced</t>
  </si>
  <si>
    <t>Very wealthy — can produce a few hundred pounds.</t>
  </si>
  <si>
    <t>Special Operations</t>
  </si>
  <si>
    <t>2d50，4d100，，。
：200。</t>
  </si>
  <si>
    <t>Bow</t>
  </si>
  <si>
    <t>Dragon Tongue</t>
  </si>
  <si>
    <t>Highland</t>
  </si>
  <si>
    <t>Expert</t>
  </si>
  <si>
    <t>Wealthy merchant — can produce several thousand pounds.</t>
  </si>
  <si>
    <t>40d100，20d400，，。
：1000。</t>
  </si>
  <si>
    <t>Elvish</t>
  </si>
  <si>
    <t>Plateau Language</t>
  </si>
  <si>
    <t>Scholar</t>
  </si>
  <si>
    <t>Noble — everyday assets are close to ten thousand pounds.</t>
  </si>
  <si>
    <t>50d200，40d500，，。
：10000。</t>
  </si>
  <si>
    <t>Old One Tongue</t>
  </si>
  <si>
    <t>Master</t>
  </si>
  <si>
    <t>Top-tier royalty or monarch — can casually spend tens of thousands of pounds.</t>
  </si>
  <si>
    <t>100d500，，，。
：10000。</t>
  </si>
  <si>
    <t>Carried Items</t>
  </si>
  <si>
    <t>Personal Wealth</t>
  </si>
  <si>
    <t>Location</t>
  </si>
  <si>
    <t>Name &amp; Description</t>
  </si>
  <si>
    <t>Slots Used</t>
  </si>
  <si>
    <t>Asset Value (Pounds)</t>
  </si>
  <si>
    <t>£346</t>
  </si>
  <si>
    <t>Lifestyle / Extra Notes</t>
  </si>
  <si>
    <t>Liquid Assets (Pounds)</t>
  </si>
  <si>
    <t>Total Savings (Pounds)</t>
  </si>
  <si>
    <t>Total Assets (Pounds)</t>
  </si>
  <si>
    <t>Weekly Pay</t>
  </si>
  <si>
    <t>(See Roll Below)</t>
  </si>
  <si>
    <t>Weekly Rent</t>
  </si>
  <si>
    <t>Residence</t>
  </si>
  <si>
    <t>Servants</t>
  </si>
  <si>
    <t>Character Concept</t>
  </si>
  <si>
    <t>Character Backstory</t>
  </si>
  <si>
    <t>Appearance Description</t>
  </si>
  <si>
    <t>Height</t>
  </si>
  <si>
    <t>Weight</t>
  </si>
  <si>
    <t>Deity Worshipped</t>
  </si>
  <si>
    <t>Alignment / Faction</t>
  </si>
  <si>
    <t>Ideals &amp; Beliefs</t>
  </si>
  <si>
    <t>Important Person</t>
  </si>
  <si>
    <t>Valued Possession</t>
  </si>
  <si>
    <t>Meaningful Place</t>
  </si>
  <si>
    <t>Wounds &amp; Scars</t>
  </si>
  <si>
    <t>Likes</t>
  </si>
  <si>
    <t>Dislikes</t>
  </si>
  <si>
    <t>Extraordinary Abilities (write freely; overflow is OK)</t>
  </si>
  <si>
    <t>NPC Companions (messenger, blood servant, marionette, avatar, etc.)</t>
  </si>
  <si>
    <t>Custom Spells (rituals, cantrips, etc.)</t>
  </si>
  <si>
    <t>Grazed Souls</t>
  </si>
  <si>
    <t>Recorded (Stolen) Abilities</t>
  </si>
  <si>
    <t>Ability Details</t>
  </si>
  <si>
    <t>Details</t>
  </si>
  <si>
    <t>Adventure</t>
  </si>
  <si>
    <t>KP / GM / Keeper</t>
  </si>
  <si>
    <t>Party Members</t>
  </si>
  <si>
    <t>Gains</t>
  </si>
  <si>
    <t>Chinese (Canonical)</t>
  </si>
  <si>
    <t>Chinese (Sheet)</t>
  </si>
  <si>
    <t>English</t>
  </si>
  <si>
    <t>Notes</t>
  </si>
  <si>
    <t>主体信息</t>
  </si>
  <si>
    <t>Character Sheet</t>
  </si>
  <si>
    <t>Main character sheet: stats, skills, inventory.</t>
  </si>
  <si>
    <t>超凡能力</t>
  </si>
  <si>
    <t>Beyonder Abilities</t>
  </si>
  <si>
    <t>Supernatural abilities and extra powers.</t>
  </si>
  <si>
    <t>经历模组</t>
  </si>
  <si>
    <t>Adventure Log</t>
  </si>
  <si>
    <t>Record completed modules/adventures.</t>
  </si>
  <si>
    <t>附表</t>
  </si>
  <si>
    <t>Tables</t>
  </si>
  <si>
    <t>Helper tables &amp; formulas — avoid editing.</t>
  </si>
  <si>
    <t>一般只有20苏勒，甚至身无分文。</t>
  </si>
  <si>
    <t>上限</t>
  </si>
  <si>
    <t>个人财富</t>
  </si>
  <si>
    <t>个 人 财 富</t>
  </si>
  <si>
    <t>Sheet styling: 个 人 财 富</t>
  </si>
  <si>
    <t>中</t>
  </si>
  <si>
    <t>Mid</t>
  </si>
  <si>
    <t>乐理</t>
  </si>
  <si>
    <t>乔装</t>
  </si>
  <si>
    <t>人设信息</t>
  </si>
  <si>
    <t>仆从</t>
  </si>
  <si>
    <t>仆从/伙伴（信使、血仆、密偶、分身等）</t>
  </si>
  <si>
    <t>伤口与疤痕</t>
  </si>
  <si>
    <t>伤害加值</t>
  </si>
  <si>
    <t>位格</t>
  </si>
  <si>
    <t>位 格</t>
  </si>
  <si>
    <t>Sheet styling: 位 格
In sheet: Rank / Status / Rank (standardize for rulebook continuity)</t>
  </si>
  <si>
    <t>Status / Rank</t>
  </si>
  <si>
    <t>位置</t>
  </si>
  <si>
    <t>位 置</t>
  </si>
  <si>
    <t>Sheet styling: 位 置</t>
  </si>
  <si>
    <t>低</t>
  </si>
  <si>
    <t>Low</t>
  </si>
  <si>
    <t>住处</t>
  </si>
  <si>
    <t>体质</t>
  </si>
  <si>
    <t>体 质</t>
  </si>
  <si>
    <t>Sheet styling: 体 质</t>
  </si>
  <si>
    <t>体重</t>
  </si>
  <si>
    <t>你拥有</t>
  </si>
  <si>
    <t>You have</t>
  </si>
  <si>
    <t>你的理论物品携带栏位为</t>
  </si>
  <si>
    <t>Your capacity is</t>
  </si>
  <si>
    <t>使用属性</t>
  </si>
  <si>
    <t>使 用 属 性</t>
  </si>
  <si>
    <t>Sheet styling: 使 用 属 性</t>
  </si>
  <si>
    <t>侦查</t>
  </si>
  <si>
    <t>信仰的神明</t>
  </si>
  <si>
    <t>信誉</t>
  </si>
  <si>
    <t>倍数</t>
  </si>
  <si>
    <t>Multiplier</t>
  </si>
  <si>
    <t>其余内容</t>
  </si>
  <si>
    <t>其 余 内 容</t>
  </si>
  <si>
    <t>Sheet styling: 其 余 内 容</t>
  </si>
  <si>
    <t>写作</t>
  </si>
  <si>
    <t>农业</t>
  </si>
  <si>
    <t>刀剑</t>
  </si>
  <si>
    <t>力量</t>
  </si>
  <si>
    <t>力量:</t>
  </si>
  <si>
    <t>Strength:</t>
  </si>
  <si>
    <t>加值</t>
  </si>
  <si>
    <t>加 值</t>
  </si>
  <si>
    <t>Sheet styling: 加 值</t>
  </si>
  <si>
    <t>化学</t>
  </si>
  <si>
    <t>医学</t>
  </si>
  <si>
    <t>半神话生物模式</t>
  </si>
  <si>
    <t>博学</t>
  </si>
  <si>
    <t>博物学</t>
  </si>
  <si>
    <t>占用栏位</t>
  </si>
  <si>
    <t>占 用 栏 位</t>
  </si>
  <si>
    <t>Sheet styling: 占 用 栏 位</t>
  </si>
  <si>
    <t>占用栏位1/4的物品请填写0.25，1/2的请填写0.5</t>
  </si>
  <si>
    <t>Not translated in the English sheet.</t>
  </si>
  <si>
    <t>历史</t>
  </si>
  <si>
    <t>厌恶的事物</t>
  </si>
  <si>
    <t>厨艺</t>
  </si>
  <si>
    <t>取悦</t>
  </si>
  <si>
    <t>受训</t>
  </si>
  <si>
    <t>In sheet: None / Trained (standardize for rulebook continuity)
Proficiency-level term; intended translation likely 'Trained'.</t>
  </si>
  <si>
    <t>古弗萨克语</t>
  </si>
  <si>
    <t>古赫密斯语</t>
  </si>
  <si>
    <t>名称</t>
  </si>
  <si>
    <t>名 称</t>
  </si>
  <si>
    <t>Sheet styling: 名 称</t>
  </si>
  <si>
    <t>名称 &amp; 描述</t>
  </si>
  <si>
    <t>名 称 &amp; 描 述</t>
  </si>
  <si>
    <t>Sheet styling: 名 称 &amp; 描 述</t>
  </si>
  <si>
    <t>周租</t>
  </si>
  <si>
    <t>周薪</t>
  </si>
  <si>
    <t>喜欢的事物</t>
  </si>
  <si>
    <t>因蒂斯语</t>
  </si>
  <si>
    <t>图书馆使用</t>
  </si>
  <si>
    <t>基础</t>
  </si>
  <si>
    <t>基 础</t>
  </si>
  <si>
    <t>Sheet styling: 基 础</t>
  </si>
  <si>
    <t>基础信息</t>
  </si>
  <si>
    <t>基 础 信 息</t>
  </si>
  <si>
    <t>Sheet styling: 基 础 信 息</t>
  </si>
  <si>
    <t>外貌描述</t>
  </si>
  <si>
    <t>大师</t>
  </si>
  <si>
    <t>天</t>
  </si>
  <si>
    <t>Angel</t>
  </si>
  <si>
    <t>天使之王</t>
  </si>
  <si>
    <t>Angel King</t>
  </si>
  <si>
    <t>天文学</t>
  </si>
  <si>
    <t>妙手</t>
  </si>
  <si>
    <t>姓名</t>
  </si>
  <si>
    <t>姓 名</t>
  </si>
  <si>
    <t>Sheet styling: 姓 名</t>
  </si>
  <si>
    <t>学识</t>
  </si>
  <si>
    <t>学识:</t>
  </si>
  <si>
    <t>宗教</t>
  </si>
  <si>
    <t>宝贵之物</t>
  </si>
  <si>
    <t>富商，能够拿出几千镑。</t>
  </si>
  <si>
    <t>射击</t>
  </si>
  <si>
    <t>射击:</t>
  </si>
  <si>
    <t>属性值 (基础总计:</t>
  </si>
  <si>
    <t>Attribute Values (Base Total:</t>
  </si>
  <si>
    <t>工程学</t>
  </si>
  <si>
    <t>巨人语</t>
  </si>
  <si>
    <t>巨型</t>
  </si>
  <si>
    <t>巨龙语</t>
  </si>
  <si>
    <t>常用语</t>
  </si>
  <si>
    <t>常用语:</t>
  </si>
  <si>
    <t>年龄</t>
  </si>
  <si>
    <t>年 龄</t>
  </si>
  <si>
    <t>Sheet styling: 年 龄</t>
  </si>
  <si>
    <t>幸运</t>
  </si>
  <si>
    <t>幸 运</t>
  </si>
  <si>
    <t>Sheet styling: 幸 运</t>
  </si>
  <si>
    <t>序列</t>
  </si>
  <si>
    <t>LoM progression tier; keep as 'Sequence'.</t>
  </si>
  <si>
    <t>序列0</t>
  </si>
  <si>
    <t>序列1</t>
  </si>
  <si>
    <t>序列2</t>
  </si>
  <si>
    <t>序列3</t>
  </si>
  <si>
    <t>序列4</t>
  </si>
  <si>
    <t>序列5</t>
  </si>
  <si>
    <t>序列6</t>
  </si>
  <si>
    <t>序列7</t>
  </si>
  <si>
    <t>序列8</t>
  </si>
  <si>
    <t>序列9</t>
  </si>
  <si>
    <t>弓箭</t>
  </si>
  <si>
    <t>弗萨克语</t>
  </si>
  <si>
    <t>弩</t>
  </si>
  <si>
    <t>心理分析</t>
  </si>
  <si>
    <t>心理学</t>
  </si>
  <si>
    <t>思想与信念</t>
  </si>
  <si>
    <t>性别</t>
  </si>
  <si>
    <t>性 别</t>
  </si>
  <si>
    <t>Sheet styling: 性 别</t>
  </si>
  <si>
    <t>总资产(单位镑)</t>
  </si>
  <si>
    <t>恐吓</t>
  </si>
  <si>
    <t>意义非凡之地</t>
  </si>
  <si>
    <t>意志</t>
  </si>
  <si>
    <t>意 志</t>
  </si>
  <si>
    <t>Sheet styling: 意 志</t>
  </si>
  <si>
    <t>所属阵营</t>
  </si>
  <si>
    <t>所需技能点</t>
  </si>
  <si>
    <t>手工</t>
  </si>
  <si>
    <t>手枪</t>
  </si>
  <si>
    <t>技能</t>
  </si>
  <si>
    <t>技 能</t>
  </si>
  <si>
    <t>Sheet styling: 技 能</t>
  </si>
  <si>
    <t>技能名称</t>
  </si>
  <si>
    <t>技 能 名 称</t>
  </si>
  <si>
    <t>Sheet styling: 技 能 名 称</t>
  </si>
  <si>
    <t>投掷</t>
  </si>
  <si>
    <t>护甲</t>
  </si>
  <si>
    <t>攀爬</t>
  </si>
  <si>
    <t>支</t>
  </si>
  <si>
    <t>Pillar</t>
  </si>
  <si>
    <t>支柱</t>
  </si>
  <si>
    <t>收获</t>
  </si>
  <si>
    <t>放牧的灵魂</t>
  </si>
  <si>
    <t>敏捷</t>
  </si>
  <si>
    <t>敏 捷</t>
  </si>
  <si>
    <t>Sheet styling: 敏 捷</t>
  </si>
  <si>
    <t>敏捷:</t>
  </si>
  <si>
    <t>Agility:</t>
  </si>
  <si>
    <t>教育</t>
  </si>
  <si>
    <t>教育:</t>
  </si>
  <si>
    <t>Education:</t>
  </si>
  <si>
    <t>数值</t>
  </si>
  <si>
    <t>数值A</t>
  </si>
  <si>
    <t>Value A</t>
  </si>
  <si>
    <t>数值B</t>
  </si>
  <si>
    <t>Value B</t>
  </si>
  <si>
    <t>数值C</t>
  </si>
  <si>
    <t>Value C</t>
  </si>
  <si>
    <t>无</t>
  </si>
  <si>
    <t>无视护甲</t>
  </si>
  <si>
    <t>无视闪避</t>
  </si>
  <si>
    <t>旧</t>
  </si>
  <si>
    <t>Old</t>
  </si>
  <si>
    <t>旧日</t>
  </si>
  <si>
    <t>Old One</t>
  </si>
  <si>
    <t>旧日语言</t>
  </si>
  <si>
    <t>普</t>
  </si>
  <si>
    <t>最终</t>
  </si>
  <si>
    <t>最 终</t>
  </si>
  <si>
    <t>Sheet styling: 最 终</t>
  </si>
  <si>
    <t>有钱人，大概可以拿出100镑。</t>
  </si>
  <si>
    <t>未受训</t>
  </si>
  <si>
    <t>本角色卡适用于D20诡秘之主琉璃版3.0.0，当前版本TowerVersion3.3.1.2，作者Ms.Tower，车卡前请先备份本角色卡，以防因为意外而丢失内容。</t>
  </si>
  <si>
    <t>机械维修</t>
  </si>
  <si>
    <t>格斗</t>
  </si>
  <si>
    <t>格斗:</t>
  </si>
  <si>
    <t>检定</t>
  </si>
  <si>
    <t>检 定</t>
  </si>
  <si>
    <t>Sheet styling: 检 定</t>
  </si>
  <si>
    <t>植物学</t>
  </si>
  <si>
    <t>模组名称</t>
  </si>
  <si>
    <t>欺骗</t>
  </si>
  <si>
    <t>歌唱</t>
  </si>
  <si>
    <t>正常人水平，大概可以拿出5镑。</t>
  </si>
  <si>
    <t>此处可更改</t>
  </si>
  <si>
    <t>此表用于非凡途径给予的额外知识又或者其他特殊用处</t>
  </si>
  <si>
    <t>步枪</t>
  </si>
  <si>
    <t>法律</t>
  </si>
  <si>
    <t>消化度</t>
  </si>
  <si>
    <t>消化情况</t>
  </si>
  <si>
    <t>消耗</t>
  </si>
  <si>
    <t>游泳</t>
  </si>
  <si>
    <t>潜行</t>
  </si>
  <si>
    <t>灵性</t>
  </si>
  <si>
    <t>灵 性</t>
  </si>
  <si>
    <t>Sheet styling: 灵 性</t>
  </si>
  <si>
    <t>灵感</t>
  </si>
  <si>
    <t>Inspiration/Intuition (INT)</t>
  </si>
  <si>
    <t>灵感:</t>
  </si>
  <si>
    <t>Intuition:</t>
  </si>
  <si>
    <t>炮术</t>
  </si>
  <si>
    <t>点</t>
  </si>
  <si>
    <t>points remaining</t>
  </si>
  <si>
    <t>点你拥有</t>
  </si>
  <si>
    <t>点 你拥有</t>
  </si>
  <si>
    <t>points remaining You have</t>
  </si>
  <si>
    <t>Sheet styling: 点 你拥有</t>
  </si>
  <si>
    <t>点教育技能点可用于本职技能，还剩下</t>
  </si>
  <si>
    <t>Education skill points for Education skills;</t>
  </si>
  <si>
    <t>点数</t>
  </si>
  <si>
    <t>点 数</t>
  </si>
  <si>
    <t>Sheet styling: 点 数</t>
  </si>
  <si>
    <t>点灵感技能点可用于其他技能，还剩下</t>
  </si>
  <si>
    <t>Intuition skill points that can be used for Education skills;</t>
  </si>
  <si>
    <t>熟练</t>
  </si>
  <si>
    <t>熟 练</t>
  </si>
  <si>
    <t>Sheet styling: 熟 练
In sheet: Proficiency / Proficient (standardize for rulebook continuity)</t>
  </si>
  <si>
    <t>熟练加值</t>
  </si>
  <si>
    <t>爆破</t>
  </si>
  <si>
    <t>物理</t>
  </si>
  <si>
    <t>特性数</t>
  </si>
  <si>
    <t>LoM 'Characteristic' terminology; keep consistent.</t>
  </si>
  <si>
    <t>特种</t>
  </si>
  <si>
    <t>猎枪</t>
  </si>
  <si>
    <t>王</t>
  </si>
  <si>
    <t>King</t>
  </si>
  <si>
    <t>玩家</t>
  </si>
  <si>
    <t>玩 家</t>
  </si>
  <si>
    <t>Sheet styling: 玩 家</t>
  </si>
  <si>
    <t>理智</t>
  </si>
  <si>
    <t>理 智</t>
  </si>
  <si>
    <t>Sheet styling: 理 智</t>
  </si>
  <si>
    <t>生命</t>
  </si>
  <si>
    <t>生 命</t>
  </si>
  <si>
    <t>Sheet styling: 生 命</t>
  </si>
  <si>
    <t>生存</t>
  </si>
  <si>
    <t>生活扩展补充</t>
  </si>
  <si>
    <t>生 活 扩 展 补 充</t>
  </si>
  <si>
    <t>Sheet styling: 生 活 扩 展 补 充</t>
  </si>
  <si>
    <t>生物</t>
  </si>
  <si>
    <t>真神</t>
  </si>
  <si>
    <t>True God</t>
  </si>
  <si>
    <t>社会学</t>
  </si>
  <si>
    <t>神</t>
  </si>
  <si>
    <t>God</t>
  </si>
  <si>
    <t>神秘学</t>
  </si>
  <si>
    <t>Occult knowledge skill; keep consistent.</t>
  </si>
  <si>
    <t>神秘语言</t>
  </si>
  <si>
    <t>神秘语言:</t>
  </si>
  <si>
    <t>种族</t>
  </si>
  <si>
    <t>种 族</t>
  </si>
  <si>
    <t>Sheet styling: 种 族</t>
  </si>
  <si>
    <t>移动</t>
  </si>
  <si>
    <t>突破上限的非凡力量</t>
  </si>
  <si>
    <t>立绘</t>
  </si>
  <si>
    <t>立 绘</t>
  </si>
  <si>
    <t>Sheet styling: 立 绘</t>
  </si>
  <si>
    <t>等级</t>
  </si>
  <si>
    <t>等 级</t>
  </si>
  <si>
    <t>Sheet styling: 等 级</t>
  </si>
  <si>
    <t>精灵语</t>
  </si>
  <si>
    <t>精通</t>
  </si>
  <si>
    <t>累积存款(单位镑)</t>
  </si>
  <si>
    <t>绘画</t>
  </si>
  <si>
    <t>考古</t>
  </si>
  <si>
    <t>聆听</t>
  </si>
  <si>
    <t>职业</t>
  </si>
  <si>
    <t>职 业</t>
  </si>
  <si>
    <t>Sheet styling: 职 业</t>
  </si>
  <si>
    <t>肉搏</t>
  </si>
  <si>
    <t>能力详情</t>
  </si>
  <si>
    <t>自定义法术（秘术、戏法等）</t>
  </si>
  <si>
    <t>自由资产(单位镑)</t>
  </si>
  <si>
    <t>艺术</t>
  </si>
  <si>
    <t>艺术:</t>
  </si>
  <si>
    <t>药学</t>
  </si>
  <si>
    <t>补正</t>
  </si>
  <si>
    <t>补 正</t>
  </si>
  <si>
    <t>Sheet styling: 补 正</t>
  </si>
  <si>
    <t>表演</t>
  </si>
  <si>
    <t>角色背景故事</t>
  </si>
  <si>
    <t>记录（窃取）的非凡能力</t>
  </si>
  <si>
    <t>话术</t>
  </si>
  <si>
    <t>详情信息</t>
  </si>
  <si>
    <t>说服</t>
  </si>
  <si>
    <t>读唇</t>
  </si>
  <si>
    <t>财产金额(单位镑)</t>
  </si>
  <si>
    <t>贵族，平日里的资产接近一万镑。</t>
  </si>
  <si>
    <t>贸易</t>
  </si>
  <si>
    <t>赫密斯语</t>
  </si>
  <si>
    <t>跳跃</t>
  </si>
  <si>
    <t>身高</t>
  </si>
  <si>
    <t>进行100d500决定你的自由资产，你的实际累积资产不计，以镑为单位，前者与后者相加在一起才是你的现有总资产。 您的自由资产最低限额：10000镑。</t>
  </si>
  <si>
    <t>100d500，，，。 ：10000。</t>
  </si>
  <si>
    <t>进行1d20决定你的自由资产，再进行2d50决定你的累积下来的存款，以镑为单位，前者与后者相加在一起才是你的现有总资产。 您的总资产最低限额：50镑。</t>
  </si>
  <si>
    <t>1d20，2d50，，。 ：50。</t>
  </si>
  <si>
    <t>进行1d5决定你的自由资产，再进行一个1d10决定你累积下来的存款，以镑为单位，前者与后者相加在一起才是你的现有总资产。 您的总资产最低限额：3镑。</t>
  </si>
  <si>
    <t>1d5，1d10，，。 ：3。</t>
  </si>
  <si>
    <t>进行2d50决定你的自由资产，再进行4d100决定你累积下来的存款，以镑为单位，前者与后者相加在一起才是你的现有总资产。 您的总资产最低限额：200镑。</t>
  </si>
  <si>
    <t>2d50，4d100，，。 ：200。</t>
  </si>
  <si>
    <t>进行40d100决定你的自由资产，再进行20d400决定你累积下来的存款，以镑为单位，前者与后者相加在一起才是你的现有总资产。 您的总资产最低限额：1000镑。</t>
  </si>
  <si>
    <t>40d100，20d400，，。 ：1000。</t>
  </si>
  <si>
    <t>进行50d200决定你的自由资产，再进行40d500决定你累积下来的存款，以镑为单位，前者与后者相加在一起才是你的现有总资产。 您的总资产最低限额：10000镑。</t>
  </si>
  <si>
    <t>50d200，40d500，，。 ：10000。</t>
  </si>
  <si>
    <t>进行一个20难度的幸运鉴定，决定你是居民还是贫民，如果鉴定成功，你可以进行一个1d20决定你的现有苏勒，这是你的总资产，如果鉴定失败，作为贫民，1d20只能决定你有多少便士。 您的总资产最低限额：无。</t>
  </si>
  <si>
    <t>20，，，1d20，，，，1d20。 ：。</t>
  </si>
  <si>
    <t>进阶</t>
  </si>
  <si>
    <t>追踪</t>
  </si>
  <si>
    <t>途径</t>
  </si>
  <si>
    <t>途 径</t>
  </si>
  <si>
    <t>Sheet styling: 途 径</t>
  </si>
  <si>
    <t>都坦语</t>
  </si>
  <si>
    <t>重型机械</t>
  </si>
  <si>
    <t>重要之人</t>
  </si>
  <si>
    <t>锁匠</t>
  </si>
  <si>
    <t>长柄</t>
  </si>
  <si>
    <t>闪避</t>
  </si>
  <si>
    <t>队友</t>
  </si>
  <si>
    <t>防御</t>
  </si>
  <si>
    <t>防 御</t>
  </si>
  <si>
    <t>Sheet styling: 防 御</t>
  </si>
  <si>
    <t>附加</t>
  </si>
  <si>
    <t>Bonus</t>
  </si>
  <si>
    <t>随身物品</t>
  </si>
  <si>
    <t>随 身 物 品</t>
  </si>
  <si>
    <t>Sheet styling: 随 身 物 品</t>
  </si>
  <si>
    <t>非凡</t>
  </si>
  <si>
    <t>非 凡</t>
  </si>
  <si>
    <t>Sheet styling: 非 凡</t>
  </si>
  <si>
    <t>非凡属性</t>
  </si>
  <si>
    <t>非 凡 属 性</t>
  </si>
  <si>
    <t>Sheet styling: 非 凡 属 性</t>
  </si>
  <si>
    <t>非凡能力（不用管能不能填的下，不影响查看的）</t>
  </si>
  <si>
    <t>非常有钱的人，大概可以拿出几百镑。</t>
  </si>
  <si>
    <t>韧性</t>
  </si>
  <si>
    <t>顶级皇室或君主，可以随手挥霍几万镑。</t>
  </si>
  <si>
    <t>领航</t>
  </si>
  <si>
    <t>额外</t>
  </si>
  <si>
    <t>额外技能</t>
  </si>
  <si>
    <t>额 外 技 能</t>
  </si>
  <si>
    <t>Sheet styling: 额 外 技 能</t>
  </si>
  <si>
    <t>额外能量池</t>
  </si>
  <si>
    <t>额外闪避</t>
  </si>
  <si>
    <t>驯兽</t>
  </si>
  <si>
    <t>驾驶</t>
  </si>
  <si>
    <t>高</t>
  </si>
  <si>
    <t>High</t>
  </si>
  <si>
    <t>高原语</t>
  </si>
  <si>
    <t>高地语</t>
  </si>
  <si>
    <t>高序列</t>
  </si>
  <si>
    <t>魅力</t>
  </si>
  <si>
    <t>魅 力</t>
  </si>
  <si>
    <t>Sheet styling: 魅 力</t>
  </si>
  <si>
    <t>魅力:</t>
  </si>
  <si>
    <t>Charisma:</t>
  </si>
  <si>
    <t>鲁恩语</t>
  </si>
  <si>
    <t>346镑</t>
  </si>
  <si>
    <t>，剩余栏位</t>
  </si>
  <si>
    <t>slots;</t>
  </si>
  <si>
    <t>Weekly Pay (Roll/Guideline)</t>
  </si>
  <si>
    <t>Residence (Guideline)</t>
  </si>
  <si>
    <t>Servants (Guideline)</t>
  </si>
  <si>
    <t>Weekly Rent (Guideline)</t>
  </si>
  <si>
    <t>Roll: 20 + 1d20 + 1d20</t>
  </si>
  <si>
    <t>No fixed home / makeshift lodging</t>
  </si>
  <si>
    <t>None or minimal</t>
  </si>
  <si>
    <t>Roll: 1d5 + 1d10 (min 3)</t>
  </si>
  <si>
    <t>Shared room / cheap inn</t>
  </si>
  <si>
    <t>0–1 occasional help</t>
  </si>
  <si>
    <t>Low (basic room/board)</t>
  </si>
  <si>
    <t>Roll: 1d20 + 2d50 (min 50)</t>
  </si>
  <si>
    <t>Comfortable apartment / house</t>
  </si>
  <si>
    <t>1–2 servants</t>
  </si>
  <si>
    <t>Moderate</t>
  </si>
  <si>
    <t>Roll: 2d50 + 4d100 (min 200)</t>
  </si>
  <si>
    <t>Large home / upscale apartment</t>
  </si>
  <si>
    <t>2–4 servants</t>
  </si>
  <si>
    <t>Roll: 40d100 + 20d400 (min 1000)</t>
  </si>
  <si>
    <t>Townhouse / small estate</t>
  </si>
  <si>
    <t>5–10 servants</t>
  </si>
  <si>
    <t>Very high</t>
  </si>
  <si>
    <t>Roll: 50d200 + 40d500 (min 10000)</t>
  </si>
  <si>
    <t>Noble estate / manor</t>
  </si>
  <si>
    <t>10–20 servants</t>
  </si>
  <si>
    <t>Estate upkeep</t>
  </si>
  <si>
    <t>Roll: 100d500 (min 10000)</t>
  </si>
  <si>
    <t>Palace / royal estate</t>
  </si>
  <si>
    <t>20+ servants</t>
  </si>
  <si>
    <t>Royal upkeep</t>
  </si>
  <si>
    <t>In sheet: Intuition (INT) (standardize for rulebook continuity)
Used as the INT ability label in this sheet.</t>
  </si>
  <si>
    <t>retad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</si>
</sst>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&quot;苏勒&quot;"/>
    <numFmt numFmtId="165" formatCode="@&quot;镑&quot;"/>
    <numFmt numFmtId="166" formatCode="@&quot;便士&quot;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icrosoft YaHei"/>
      <family val="2"/>
    </font>
    <font>
      <sz val="12"/>
      <color theme="0"/>
      <name val="Microsoft YaHei"/>
      <family val="2"/>
    </font>
    <font>
      <b/>
      <sz val="14"/>
      <color theme="0"/>
      <name val="Microsoft YaHei"/>
      <family val="2"/>
    </font>
    <font>
      <b/>
      <sz val="16"/>
      <color theme="1"/>
      <name val="Microsoft YaHei"/>
      <family val="2"/>
    </font>
    <font>
      <sz val="10"/>
      <color theme="1"/>
      <name val="Microsoft YaHei"/>
      <family val="2"/>
    </font>
    <font>
      <b/>
      <sz val="14"/>
      <color theme="1"/>
      <name val="Microsoft YaHei"/>
      <family val="2"/>
    </font>
    <font>
      <sz val="13"/>
      <color theme="1"/>
      <name val="Microsoft YaHei"/>
      <family val="2"/>
    </font>
    <font>
      <b/>
      <sz val="12"/>
      <color theme="1"/>
      <name val="Microsoft YaHei"/>
      <family val="2"/>
    </font>
    <font>
      <sz val="11"/>
      <color theme="1"/>
      <name val="Calibri"/>
      <family val="2"/>
    </font>
    <font>
      <b/>
      <sz val="26"/>
      <color theme="1"/>
      <name val="Microsoft YaHei"/>
      <family val="2"/>
    </font>
    <font>
      <sz val="12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9E1F2"/>
      </patternFill>
    </fill>
  </fills>
  <borders count="103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n">
        <color rgb="FF7F7F7F"/>
      </bottom>
      <diagonal/>
    </border>
    <border>
      <left/>
      <right style="thick">
        <color rgb="FF000000"/>
      </right>
      <top style="thick">
        <color rgb="FF000000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ck">
        <color rgb="FF000000"/>
      </right>
      <top style="thin">
        <color rgb="FF7F7F7F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7F7F7F"/>
      </top>
      <bottom style="thick">
        <color rgb="FF000000"/>
      </bottom>
      <diagonal/>
    </border>
    <border>
      <left/>
      <right style="thick">
        <color rgb="FF000000"/>
      </right>
      <top style="thin">
        <color rgb="FF7F7F7F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ck">
        <color rgb="FF000000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ck">
        <color rgb="FF000000"/>
      </right>
      <top/>
      <bottom style="thin">
        <color rgb="FF7F7F7F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7F7F7F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7F7F7F"/>
      </left>
      <right style="thick">
        <color rgb="FF000000"/>
      </right>
      <top style="thin">
        <color rgb="FF7F7F7F"/>
      </top>
      <bottom style="thin">
        <color rgb="FF7F7F7F"/>
      </bottom>
      <diagonal/>
    </border>
    <border>
      <left/>
      <right/>
      <top style="thick">
        <color theme="1"/>
      </top>
      <bottom style="thin">
        <color rgb="FF7F7F7F"/>
      </bottom>
      <diagonal/>
    </border>
    <border>
      <left/>
      <right style="thick">
        <color theme="1"/>
      </right>
      <top style="thick">
        <color theme="1"/>
      </top>
      <bottom style="thin">
        <color rgb="FF7F7F7F"/>
      </bottom>
      <diagonal/>
    </border>
    <border>
      <left/>
      <right style="thick">
        <color theme="1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ck">
        <color theme="1"/>
      </bottom>
      <diagonal/>
    </border>
    <border>
      <left/>
      <right style="thin">
        <color rgb="FF7F7F7F"/>
      </right>
      <top style="thin">
        <color rgb="FF7F7F7F"/>
      </top>
      <bottom style="thick">
        <color theme="1"/>
      </bottom>
      <diagonal/>
    </border>
    <border>
      <left/>
      <right style="thick">
        <color theme="1"/>
      </right>
      <top style="thin">
        <color rgb="FF7F7F7F"/>
      </top>
      <bottom style="thick">
        <color theme="1"/>
      </bottom>
      <diagonal/>
    </border>
    <border>
      <left style="thin">
        <color rgb="FF7F7F7F"/>
      </left>
      <right style="dotted">
        <color rgb="FF7F7F7F"/>
      </right>
      <top style="thin">
        <color rgb="FF7F7F7F"/>
      </top>
      <bottom style="thick">
        <color rgb="FF000000"/>
      </bottom>
      <diagonal/>
    </border>
    <border>
      <left style="dotted">
        <color rgb="FF7F7F7F"/>
      </left>
      <right style="dotted">
        <color rgb="FF7F7F7F"/>
      </right>
      <top style="thin">
        <color rgb="FF7F7F7F"/>
      </top>
      <bottom style="thick">
        <color rgb="FF000000"/>
      </bottom>
      <diagonal/>
    </border>
    <border>
      <left style="dotted">
        <color rgb="FF7F7F7F"/>
      </left>
      <right style="thick">
        <color rgb="FF000000"/>
      </right>
      <top style="thin">
        <color rgb="FF7F7F7F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double">
        <color rgb="FF7F7F7F"/>
      </top>
      <bottom style="thin">
        <color rgb="FF7F7F7F"/>
      </bottom>
      <diagonal/>
    </border>
    <border>
      <left/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/>
      <right style="thick">
        <color rgb="FF000000"/>
      </right>
      <top style="double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double">
        <color rgb="FF7F7F7F"/>
      </bottom>
      <diagonal/>
    </border>
    <border>
      <left/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/>
      <right style="dotted">
        <color rgb="FF7F7F7F"/>
      </right>
      <top style="thick">
        <color theme="1"/>
      </top>
      <bottom style="thin">
        <color rgb="FF7F7F7F"/>
      </bottom>
      <diagonal/>
    </border>
    <border>
      <left/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/>
      <right style="dotted">
        <color rgb="FF7F7F7F"/>
      </right>
      <top style="thin">
        <color rgb="FF7F7F7F"/>
      </top>
      <bottom style="thick">
        <color theme="1"/>
      </bottom>
      <diagonal/>
    </border>
    <border>
      <left/>
      <right style="thick">
        <color rgb="FF000000"/>
      </right>
      <top style="thin">
        <color rgb="FF7F7F7F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rgb="FF7F7F7F"/>
      </bottom>
      <diagonal/>
    </border>
    <border>
      <left style="thick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000000"/>
      </right>
      <top style="thin">
        <color rgb="FF7F7F7F"/>
      </top>
      <bottom style="thin">
        <color rgb="FF7F7F7F"/>
      </bottom>
      <diagonal/>
    </border>
    <border>
      <left style="thick">
        <color theme="1"/>
      </left>
      <right style="thick">
        <color theme="1"/>
      </right>
      <top style="thin">
        <color rgb="FF7F7F7F"/>
      </top>
      <bottom style="thin">
        <color rgb="FF7F7F7F"/>
      </bottom>
      <diagonal/>
    </border>
    <border>
      <left style="thick">
        <color rgb="FF000000"/>
      </left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thick">
        <color rgb="FF000000"/>
      </right>
      <top style="thin">
        <color rgb="FF7F7F7F"/>
      </top>
      <bottom style="thick">
        <color rgb="FF000000"/>
      </bottom>
      <diagonal/>
    </border>
    <border>
      <left style="thick">
        <color rgb="FF000000"/>
      </left>
      <right style="thin">
        <color rgb="FF7F7F7F"/>
      </right>
      <top style="thick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ck">
        <color rgb="FF000000"/>
      </top>
      <bottom style="thin">
        <color rgb="FF7F7F7F"/>
      </bottom>
      <diagonal/>
    </border>
    <border>
      <left style="thin">
        <color rgb="FF7F7F7F"/>
      </left>
      <right style="thick">
        <color rgb="FF000000"/>
      </right>
      <top style="thick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7F7F7F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7F7F7F"/>
      </top>
      <bottom style="thin">
        <color rgb="FF7F7F7F"/>
      </bottom>
      <diagonal/>
    </border>
    <border>
      <left/>
      <right style="thick">
        <color rgb="FF000000"/>
      </right>
      <top style="thin">
        <color rgb="FF7F7F7F"/>
      </top>
      <bottom style="thin">
        <color rgb="FF7F7F7F"/>
      </bottom>
      <diagonal/>
    </border>
    <border>
      <left style="thick">
        <color theme="1"/>
      </left>
      <right style="dotted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rgb="FF7F7F7F"/>
      </left>
      <right style="thick">
        <color theme="1"/>
      </right>
      <top style="thin">
        <color rgb="FF7F7F7F"/>
      </top>
      <bottom style="thin">
        <color rgb="FF7F7F7F"/>
      </bottom>
      <diagonal/>
    </border>
    <border>
      <left style="thick">
        <color rgb="FF000000"/>
      </left>
      <right style="thick">
        <color rgb="FF000000"/>
      </right>
      <top style="thin">
        <color rgb="FF7F7F7F"/>
      </top>
      <bottom style="thin">
        <color rgb="FF7F7F7F"/>
      </bottom>
      <diagonal/>
    </border>
    <border>
      <left style="thick">
        <color rgb="FF000000"/>
      </left>
      <right style="thick">
        <color rgb="FF000000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double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theme="1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double">
        <color rgb="FF7F7F7F"/>
      </right>
      <top style="thin">
        <color rgb="FF7F7F7F"/>
      </top>
      <bottom/>
      <diagonal/>
    </border>
    <border>
      <left/>
      <right style="double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000000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thick">
        <color rgb="FF000000"/>
      </left>
      <right style="thin">
        <color rgb="FF7F7F7F"/>
      </right>
      <top style="thin">
        <color rgb="FF7F7F7F"/>
      </top>
      <bottom/>
      <diagonal/>
    </border>
    <border>
      <left style="double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ck">
        <color theme="1"/>
      </left>
      <right style="dotted">
        <color rgb="FF7F7F7F"/>
      </right>
      <top style="thick">
        <color theme="1"/>
      </top>
      <bottom style="thin">
        <color rgb="FF7F7F7F"/>
      </bottom>
      <diagonal/>
    </border>
    <border>
      <left style="dotted">
        <color rgb="FF7F7F7F"/>
      </left>
      <right style="thick">
        <color theme="1"/>
      </right>
      <top style="thick">
        <color theme="1"/>
      </top>
      <bottom style="thin">
        <color rgb="FF7F7F7F"/>
      </bottom>
      <diagonal/>
    </border>
    <border>
      <left style="thick">
        <color rgb="FF000000"/>
      </left>
      <right style="thin">
        <color rgb="FF7F7F7F"/>
      </right>
      <top style="thin">
        <color rgb="FF7F7F7F"/>
      </top>
      <bottom style="thick">
        <color theme="1"/>
      </bottom>
      <diagonal/>
    </border>
    <border>
      <left style="thin">
        <color rgb="FF7F7F7F"/>
      </left>
      <right style="thick">
        <color rgb="FF000000"/>
      </right>
      <top style="thin">
        <color rgb="FF7F7F7F"/>
      </top>
      <bottom style="thick">
        <color theme="1"/>
      </bottom>
      <diagonal/>
    </border>
    <border>
      <left/>
      <right style="thin">
        <color rgb="FF7F7F7F"/>
      </right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7F7F7F"/>
      </right>
      <top style="thin">
        <color rgb="FF7F7F7F"/>
      </top>
      <bottom style="thick">
        <color rgb="FF000000"/>
      </bottom>
      <diagonal/>
    </border>
    <border>
      <left style="thick">
        <color rgb="FF000000"/>
      </left>
      <right/>
      <top style="thin">
        <color rgb="FF7F7F7F"/>
      </top>
      <bottom/>
      <diagonal/>
    </border>
    <border>
      <left style="thick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theme="1"/>
      </left>
      <right style="thin">
        <color rgb="FF7F7F7F"/>
      </right>
      <top style="thin">
        <color rgb="FF7F7F7F"/>
      </top>
      <bottom style="thick">
        <color theme="1"/>
      </bottom>
      <diagonal/>
    </border>
    <border>
      <left style="thin">
        <color rgb="FF7F7F7F"/>
      </left>
      <right style="thick">
        <color theme="1"/>
      </right>
      <top style="thin">
        <color rgb="FF7F7F7F"/>
      </top>
      <bottom style="thick">
        <color theme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 style="thick">
        <color rgb="FF000000"/>
      </right>
      <top style="double">
        <color rgb="FF7F7F7F"/>
      </top>
      <bottom style="thin">
        <color rgb="FF7F7F7F"/>
      </bottom>
      <diagonal/>
    </border>
    <border>
      <left style="thick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7F7F7F"/>
      </left>
      <right/>
      <top style="thin">
        <color rgb="FF7F7F7F"/>
      </top>
      <bottom/>
      <diagonal/>
    </border>
    <border>
      <left style="thick">
        <color theme="1"/>
      </left>
      <right style="thick">
        <color theme="1"/>
      </right>
      <top style="thin">
        <color rgb="FF7F7F7F"/>
      </top>
      <bottom style="thick">
        <color theme="1"/>
      </bottom>
      <diagonal/>
    </border>
    <border>
      <left/>
      <right style="double">
        <color rgb="FF7F7F7F"/>
      </right>
      <top style="thin">
        <color rgb="FF7F7F7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double">
        <color rgb="FF7F7F7F"/>
      </left>
      <right/>
      <top style="thin">
        <color rgb="FF7F7F7F"/>
      </top>
      <bottom style="thick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theme="1"/>
      </bottom>
      <diagonal/>
    </border>
    <border>
      <left style="thick">
        <color theme="1"/>
      </left>
      <right style="dotted">
        <color rgb="FF7F7F7F"/>
      </right>
      <top style="thin">
        <color rgb="FF7F7F7F"/>
      </top>
      <bottom style="thick">
        <color theme="1"/>
      </bottom>
      <diagonal/>
    </border>
    <border>
      <left style="dotted">
        <color rgb="FF7F7F7F"/>
      </left>
      <right style="thick">
        <color theme="1"/>
      </right>
      <top style="thin">
        <color rgb="FF7F7F7F"/>
      </top>
      <bottom style="thick">
        <color theme="1"/>
      </bottom>
      <diagonal/>
    </border>
  </borders>
  <cellStyleXfs count="1">
    <xf numFmtId="0" fontId="0" fillId="0" borderId="1"/>
  </cellStyleXfs>
  <cellXfs count="234">
    <xf numFmtId="0" fontId="0" fillId="0" borderId="0" xfId="0" applyBorder="1" applyAlignment="1">
      <alignment vertical="center"/>
    </xf>
    <xf numFmtId="0" fontId="3" fillId="2" borderId="1" xfId="0" applyFont="1" applyFill="1" applyAlignment="1">
      <alignment vertical="center"/>
    </xf>
    <xf numFmtId="0" fontId="4" fillId="2" borderId="1" xfId="0" applyFont="1" applyFill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4" fillId="2" borderId="1" xfId="0" applyFont="1" applyFill="1" applyAlignment="1">
      <alignment vertical="center" wrapText="1"/>
    </xf>
    <xf numFmtId="14" fontId="4" fillId="2" borderId="1" xfId="0" applyNumberFormat="1" applyFont="1" applyFill="1" applyAlignment="1">
      <alignment vertical="center"/>
    </xf>
    <xf numFmtId="0" fontId="11" fillId="2" borderId="1" xfId="0" applyFont="1" applyFill="1" applyAlignment="1">
      <alignment vertical="center"/>
    </xf>
    <xf numFmtId="0" fontId="3" fillId="2" borderId="1" xfId="0" applyFont="1" applyFill="1" applyAlignment="1">
      <alignment horizontal="center" vertical="center"/>
    </xf>
    <xf numFmtId="0" fontId="3" fillId="2" borderId="1" xfId="0" applyFont="1" applyFill="1" applyAlignment="1">
      <alignment horizontal="center" vertical="center" wrapText="1"/>
    </xf>
    <xf numFmtId="0" fontId="3" fillId="2" borderId="1" xfId="0" applyFont="1" applyFill="1" applyAlignment="1">
      <alignment horizontal="left" vertical="top" wrapText="1"/>
    </xf>
    <xf numFmtId="0" fontId="5" fillId="3" borderId="41" xfId="0" applyFont="1" applyFill="1" applyBorder="1" applyAlignment="1">
      <alignment horizontal="center" vertical="center" wrapText="1"/>
    </xf>
    <xf numFmtId="0" fontId="8" fillId="2" borderId="1" xfId="0" applyFont="1" applyFill="1" applyAlignment="1">
      <alignment horizontal="center" vertical="center" wrapText="1"/>
    </xf>
    <xf numFmtId="0" fontId="8" fillId="2" borderId="1" xfId="0" applyFont="1" applyFill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2" fillId="2" borderId="1" xfId="0" applyFont="1" applyFill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top" wrapText="1"/>
    </xf>
    <xf numFmtId="0" fontId="13" fillId="0" borderId="1" xfId="0" applyFont="1" applyAlignment="1">
      <alignment horizontal="center" vertical="center"/>
    </xf>
    <xf numFmtId="0" fontId="14" fillId="7" borderId="1" xfId="0" applyFont="1" applyFill="1"/>
    <xf numFmtId="0" fontId="2" fillId="0" borderId="0" xfId="0" applyFont="1" applyBorder="1" applyAlignment="1">
      <alignment vertical="top" wrapText="1"/>
    </xf>
    <xf numFmtId="0" fontId="5" fillId="3" borderId="5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4" borderId="61" xfId="0" applyFont="1" applyFill="1" applyBorder="1" applyAlignment="1">
      <alignment horizontal="center" vertical="center"/>
    </xf>
    <xf numFmtId="0" fontId="0" fillId="0" borderId="83" xfId="0" applyBorder="1"/>
    <xf numFmtId="0" fontId="6" fillId="2" borderId="55" xfId="0" applyFont="1" applyFill="1" applyBorder="1" applyAlignment="1">
      <alignment horizontal="right" vertical="center"/>
    </xf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3" fillId="2" borderId="65" xfId="0" applyFont="1" applyFill="1" applyBorder="1" applyAlignment="1">
      <alignment vertical="center"/>
    </xf>
    <xf numFmtId="0" fontId="0" fillId="0" borderId="66" xfId="0" applyBorder="1"/>
    <xf numFmtId="0" fontId="3" fillId="4" borderId="42" xfId="0" applyFont="1" applyFill="1" applyBorder="1" applyAlignment="1">
      <alignment horizontal="center" vertical="center"/>
    </xf>
    <xf numFmtId="0" fontId="0" fillId="0" borderId="63" xfId="0" applyBorder="1"/>
    <xf numFmtId="0" fontId="3" fillId="4" borderId="96" xfId="0" applyFont="1" applyFill="1" applyBorder="1" applyAlignment="1">
      <alignment horizontal="center" vertical="center"/>
    </xf>
    <xf numFmtId="0" fontId="0" fillId="0" borderId="26" xfId="0" applyBorder="1"/>
    <xf numFmtId="0" fontId="3" fillId="2" borderId="66" xfId="0" applyFont="1" applyFill="1" applyBorder="1" applyAlignment="1">
      <alignment horizontal="center" vertical="center"/>
    </xf>
    <xf numFmtId="0" fontId="10" fillId="5" borderId="51" xfId="0" applyFont="1" applyFill="1" applyBorder="1" applyAlignment="1">
      <alignment horizontal="center" vertical="center"/>
    </xf>
    <xf numFmtId="0" fontId="10" fillId="6" borderId="6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0" fillId="0" borderId="7" xfId="0" applyBorder="1"/>
    <xf numFmtId="14" fontId="3" fillId="4" borderId="43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6" xfId="0" applyBorder="1"/>
    <xf numFmtId="0" fontId="10" fillId="5" borderId="6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98" xfId="0" applyBorder="1"/>
    <xf numFmtId="0" fontId="3" fillId="2" borderId="69" xfId="0" applyFont="1" applyFill="1" applyBorder="1" applyAlignment="1">
      <alignment horizontal="center" vertical="center"/>
    </xf>
    <xf numFmtId="0" fontId="0" fillId="0" borderId="70" xfId="0" applyBorder="1"/>
    <xf numFmtId="0" fontId="6" fillId="2" borderId="56" xfId="0" applyFont="1" applyFill="1" applyBorder="1" applyAlignment="1">
      <alignment horizontal="left" vertical="center"/>
    </xf>
    <xf numFmtId="0" fontId="0" fillId="0" borderId="14" xfId="0" applyBorder="1"/>
    <xf numFmtId="0" fontId="3" fillId="2" borderId="44" xfId="0" applyFont="1" applyFill="1" applyBorder="1" applyAlignment="1">
      <alignment horizontal="center" vertical="center"/>
    </xf>
    <xf numFmtId="0" fontId="0" fillId="0" borderId="23" xfId="0" applyBorder="1"/>
    <xf numFmtId="0" fontId="3" fillId="4" borderId="44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10" fillId="6" borderId="6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4" borderId="82" xfId="0" applyFont="1" applyFill="1" applyBorder="1" applyAlignment="1">
      <alignment horizontal="center" vertical="center"/>
    </xf>
    <xf numFmtId="0" fontId="0" fillId="0" borderId="40" xfId="0" applyBorder="1"/>
    <xf numFmtId="0" fontId="3" fillId="4" borderId="57" xfId="0" applyFont="1" applyFill="1" applyBorder="1" applyAlignment="1">
      <alignment horizontal="center" vertical="center"/>
    </xf>
    <xf numFmtId="0" fontId="0" fillId="0" borderId="38" xfId="0" applyBorder="1"/>
    <xf numFmtId="0" fontId="3" fillId="4" borderId="63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81" xfId="0" applyFont="1" applyFill="1" applyBorder="1" applyAlignment="1">
      <alignment horizontal="center" vertical="center"/>
    </xf>
    <xf numFmtId="0" fontId="0" fillId="0" borderId="25" xfId="0" applyBorder="1"/>
    <xf numFmtId="0" fontId="3" fillId="4" borderId="72" xfId="0" applyFont="1" applyFill="1" applyBorder="1" applyAlignment="1">
      <alignment horizontal="center" vertical="center"/>
    </xf>
    <xf numFmtId="0" fontId="10" fillId="6" borderId="72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164" fontId="3" fillId="4" borderId="50" xfId="0" applyNumberFormat="1" applyFont="1" applyFill="1" applyBorder="1" applyAlignment="1">
      <alignment horizontal="center" vertical="center"/>
    </xf>
    <xf numFmtId="0" fontId="0" fillId="0" borderId="10" xfId="0" applyBorder="1"/>
    <xf numFmtId="0" fontId="3" fillId="2" borderId="46" xfId="0" applyFont="1" applyFill="1" applyBorder="1" applyAlignment="1">
      <alignment horizontal="center" vertical="center"/>
    </xf>
    <xf numFmtId="0" fontId="0" fillId="0" borderId="11" xfId="0" applyBorder="1"/>
    <xf numFmtId="0" fontId="3" fillId="4" borderId="65" xfId="0" applyFont="1" applyFill="1" applyBorder="1" applyAlignment="1">
      <alignment horizontal="left" vertical="center"/>
    </xf>
    <xf numFmtId="0" fontId="3" fillId="4" borderId="74" xfId="0" applyFont="1" applyFill="1" applyBorder="1" applyAlignment="1">
      <alignment horizontal="center" vertical="center"/>
    </xf>
    <xf numFmtId="0" fontId="0" fillId="0" borderId="73" xfId="0" applyBorder="1"/>
    <xf numFmtId="0" fontId="3" fillId="4" borderId="69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left" vertical="center"/>
    </xf>
    <xf numFmtId="0" fontId="3" fillId="2" borderId="62" xfId="0" applyFont="1" applyFill="1" applyBorder="1" applyAlignment="1">
      <alignment horizontal="left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left" vertical="center"/>
    </xf>
    <xf numFmtId="0" fontId="10" fillId="5" borderId="87" xfId="0" applyFont="1" applyFill="1" applyBorder="1" applyAlignment="1">
      <alignment horizontal="center" vertical="center"/>
    </xf>
    <xf numFmtId="0" fontId="10" fillId="6" borderId="69" xfId="0" applyFont="1" applyFill="1" applyBorder="1" applyAlignment="1">
      <alignment horizontal="center" vertical="center"/>
    </xf>
    <xf numFmtId="0" fontId="10" fillId="6" borderId="50" xfId="0" applyFont="1" applyFill="1" applyBorder="1" applyAlignment="1">
      <alignment horizontal="center" vertical="center"/>
    </xf>
    <xf numFmtId="0" fontId="10" fillId="5" borderId="84" xfId="0" applyFont="1" applyFill="1" applyBorder="1" applyAlignment="1">
      <alignment horizontal="center" vertical="center"/>
    </xf>
    <xf numFmtId="0" fontId="0" fillId="0" borderId="5" xfId="0" applyBorder="1"/>
    <xf numFmtId="0" fontId="10" fillId="4" borderId="42" xfId="0" applyFont="1" applyFill="1" applyBorder="1" applyAlignment="1">
      <alignment horizontal="center" vertical="center"/>
    </xf>
    <xf numFmtId="0" fontId="3" fillId="4" borderId="84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left" vertical="center"/>
    </xf>
    <xf numFmtId="0" fontId="3" fillId="5" borderId="59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vertical="center"/>
    </xf>
    <xf numFmtId="0" fontId="3" fillId="4" borderId="46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horizontal="center" vertical="center"/>
    </xf>
    <xf numFmtId="0" fontId="3" fillId="4" borderId="73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left" vertical="center"/>
    </xf>
    <xf numFmtId="0" fontId="6" fillId="5" borderId="42" xfId="0" applyFont="1" applyFill="1" applyBorder="1" applyAlignment="1">
      <alignment horizontal="center" vertical="center"/>
    </xf>
    <xf numFmtId="0" fontId="0" fillId="0" borderId="15" xfId="0" applyBorder="1"/>
    <xf numFmtId="164" fontId="3" fillId="2" borderId="50" xfId="0" applyNumberFormat="1" applyFont="1" applyFill="1" applyBorder="1" applyAlignment="1">
      <alignment horizontal="center" vertical="center"/>
    </xf>
    <xf numFmtId="0" fontId="5" fillId="3" borderId="8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3" fillId="2" borderId="61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3" fillId="4" borderId="55" xfId="0" applyFont="1" applyFill="1" applyBorder="1" applyAlignment="1">
      <alignment vertical="center"/>
    </xf>
    <xf numFmtId="0" fontId="3" fillId="4" borderId="45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vertical="center"/>
    </xf>
    <xf numFmtId="0" fontId="3" fillId="2" borderId="77" xfId="0" applyFont="1" applyFill="1" applyBorder="1" applyAlignment="1">
      <alignment vertical="center"/>
    </xf>
    <xf numFmtId="0" fontId="10" fillId="6" borderId="77" xfId="0" applyFont="1" applyFill="1" applyBorder="1" applyAlignment="1">
      <alignment horizontal="center" vertical="center"/>
    </xf>
    <xf numFmtId="0" fontId="10" fillId="5" borderId="91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3" fillId="4" borderId="63" xfId="0" applyFont="1" applyFill="1" applyBorder="1" applyAlignment="1">
      <alignment vertical="center"/>
    </xf>
    <xf numFmtId="0" fontId="3" fillId="2" borderId="60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0" fillId="0" borderId="30" xfId="0" applyBorder="1"/>
    <xf numFmtId="0" fontId="0" fillId="0" borderId="31" xfId="0" applyBorder="1"/>
    <xf numFmtId="0" fontId="3" fillId="4" borderId="77" xfId="0" applyFont="1" applyFill="1" applyBorder="1" applyAlignment="1">
      <alignment vertical="center"/>
    </xf>
    <xf numFmtId="0" fontId="9" fillId="2" borderId="1" xfId="0" applyFont="1" applyFill="1" applyAlignment="1">
      <alignment horizontal="left" vertical="center"/>
    </xf>
    <xf numFmtId="0" fontId="3" fillId="4" borderId="83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vertical="center"/>
    </xf>
    <xf numFmtId="0" fontId="10" fillId="5" borderId="50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 wrapText="1"/>
    </xf>
    <xf numFmtId="0" fontId="0" fillId="0" borderId="16" xfId="0" applyBorder="1"/>
    <xf numFmtId="0" fontId="5" fillId="3" borderId="90" xfId="0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3" fillId="2" borderId="63" xfId="0" applyFont="1" applyFill="1" applyBorder="1" applyAlignment="1">
      <alignment vertical="center"/>
    </xf>
    <xf numFmtId="0" fontId="3" fillId="4" borderId="58" xfId="0" applyFont="1" applyFill="1" applyBorder="1" applyAlignment="1">
      <alignment horizontal="center" vertical="center"/>
    </xf>
    <xf numFmtId="165" fontId="3" fillId="2" borderId="50" xfId="0" applyNumberFormat="1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3" fillId="4" borderId="94" xfId="0" applyFont="1" applyFill="1" applyBorder="1" applyAlignment="1">
      <alignment vertical="center"/>
    </xf>
    <xf numFmtId="0" fontId="0" fillId="0" borderId="35" xfId="0" applyBorder="1"/>
    <xf numFmtId="0" fontId="6" fillId="5" borderId="43" xfId="0" applyFont="1" applyFill="1" applyBorder="1" applyAlignment="1">
      <alignment horizontal="center" vertical="center" wrapText="1"/>
    </xf>
    <xf numFmtId="0" fontId="0" fillId="0" borderId="17" xfId="0" applyBorder="1"/>
    <xf numFmtId="0" fontId="10" fillId="5" borderId="64" xfId="0" applyFont="1" applyFill="1" applyBorder="1" applyAlignment="1">
      <alignment horizontal="center" vertical="center"/>
    </xf>
    <xf numFmtId="0" fontId="3" fillId="2" borderId="73" xfId="0" applyFont="1" applyFill="1" applyBorder="1" applyAlignment="1">
      <alignment horizontal="center" vertical="center"/>
    </xf>
    <xf numFmtId="0" fontId="3" fillId="2" borderId="1" xfId="0" applyFont="1" applyFill="1" applyAlignment="1">
      <alignment horizontal="center" vertical="center"/>
    </xf>
    <xf numFmtId="0" fontId="8" fillId="4" borderId="89" xfId="0" applyFont="1" applyFill="1" applyBorder="1" applyAlignment="1">
      <alignment horizontal="center" vertical="center"/>
    </xf>
    <xf numFmtId="0" fontId="0" fillId="0" borderId="24" xfId="0" applyBorder="1"/>
    <xf numFmtId="0" fontId="10" fillId="6" borderId="43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10" fillId="4" borderId="61" xfId="0" applyFont="1" applyFill="1" applyBorder="1" applyAlignment="1">
      <alignment horizontal="center" vertical="center"/>
    </xf>
    <xf numFmtId="0" fontId="3" fillId="2" borderId="87" xfId="0" applyFont="1" applyFill="1" applyBorder="1" applyAlignment="1">
      <alignment horizontal="center" vertical="center"/>
    </xf>
    <xf numFmtId="0" fontId="10" fillId="6" borderId="68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0" fontId="3" fillId="4" borderId="98" xfId="0" applyFont="1" applyFill="1" applyBorder="1" applyAlignment="1">
      <alignment horizontal="center" vertical="center"/>
    </xf>
    <xf numFmtId="0" fontId="10" fillId="6" borderId="65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left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2" borderId="74" xfId="0" applyFont="1" applyFill="1" applyBorder="1" applyAlignment="1">
      <alignment horizontal="center" vertical="center"/>
    </xf>
    <xf numFmtId="166" fontId="3" fillId="4" borderId="43" xfId="0" applyNumberFormat="1" applyFont="1" applyFill="1" applyBorder="1" applyAlignment="1">
      <alignment horizontal="center" vertical="center"/>
    </xf>
    <xf numFmtId="0" fontId="3" fillId="4" borderId="89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/>
    </xf>
    <xf numFmtId="0" fontId="0" fillId="0" borderId="36" xfId="0" applyBorder="1"/>
    <xf numFmtId="0" fontId="3" fillId="4" borderId="76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vertical="center"/>
    </xf>
    <xf numFmtId="0" fontId="3" fillId="4" borderId="99" xfId="0" applyFont="1" applyFill="1" applyBorder="1" applyAlignment="1">
      <alignment horizontal="left" vertical="center"/>
    </xf>
    <xf numFmtId="0" fontId="3" fillId="4" borderId="85" xfId="0" applyFont="1" applyFill="1" applyBorder="1" applyAlignment="1">
      <alignment horizontal="center" vertical="center"/>
    </xf>
    <xf numFmtId="0" fontId="0" fillId="0" borderId="97" xfId="0" applyBorder="1"/>
    <xf numFmtId="0" fontId="10" fillId="5" borderId="92" xfId="0" applyFont="1" applyFill="1" applyBorder="1" applyAlignment="1">
      <alignment horizontal="center" vertical="center"/>
    </xf>
    <xf numFmtId="0" fontId="3" fillId="4" borderId="83" xfId="0" applyFont="1" applyFill="1" applyBorder="1" applyAlignment="1">
      <alignment horizontal="left" vertical="center"/>
    </xf>
    <xf numFmtId="0" fontId="5" fillId="3" borderId="79" xfId="0" applyFont="1" applyFill="1" applyBorder="1" applyAlignment="1">
      <alignment horizontal="center" vertical="center"/>
    </xf>
    <xf numFmtId="0" fontId="0" fillId="0" borderId="37" xfId="0" applyBorder="1"/>
    <xf numFmtId="0" fontId="3" fillId="5" borderId="50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vertical="center"/>
    </xf>
    <xf numFmtId="0" fontId="10" fillId="5" borderId="42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 wrapText="1"/>
    </xf>
    <xf numFmtId="0" fontId="3" fillId="2" borderId="96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10" fillId="5" borderId="93" xfId="0" applyFont="1" applyFill="1" applyBorder="1" applyAlignment="1">
      <alignment horizontal="center" vertical="center"/>
    </xf>
    <xf numFmtId="0" fontId="0" fillId="0" borderId="34" xfId="0" applyBorder="1"/>
    <xf numFmtId="0" fontId="3" fillId="4" borderId="88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left" vertical="center"/>
    </xf>
    <xf numFmtId="0" fontId="3" fillId="4" borderId="78" xfId="0" applyFont="1" applyFill="1" applyBorder="1" applyAlignment="1">
      <alignment vertical="center"/>
    </xf>
    <xf numFmtId="0" fontId="3" fillId="2" borderId="66" xfId="0" applyFont="1" applyFill="1" applyBorder="1" applyAlignment="1">
      <alignment horizontal="left" vertical="center"/>
    </xf>
    <xf numFmtId="0" fontId="3" fillId="4" borderId="97" xfId="0" applyFont="1" applyFill="1" applyBorder="1" applyAlignment="1">
      <alignment horizontal="center" vertical="center"/>
    </xf>
    <xf numFmtId="0" fontId="3" fillId="4" borderId="100" xfId="0" applyFont="1" applyFill="1" applyBorder="1" applyAlignment="1">
      <alignment horizontal="center" vertical="center"/>
    </xf>
    <xf numFmtId="0" fontId="3" fillId="2" borderId="101" xfId="0" applyFont="1" applyFill="1" applyBorder="1" applyAlignment="1">
      <alignment horizontal="center" vertical="center"/>
    </xf>
    <xf numFmtId="0" fontId="0" fillId="0" borderId="39" xfId="0" applyBorder="1"/>
    <xf numFmtId="0" fontId="3" fillId="4" borderId="45" xfId="0" applyFont="1" applyFill="1" applyBorder="1" applyAlignment="1">
      <alignment vertical="center"/>
    </xf>
    <xf numFmtId="0" fontId="3" fillId="4" borderId="86" xfId="0" applyFont="1" applyFill="1" applyBorder="1" applyAlignment="1">
      <alignment vertical="center"/>
    </xf>
    <xf numFmtId="0" fontId="3" fillId="2" borderId="86" xfId="0" applyFont="1" applyFill="1" applyBorder="1" applyAlignment="1">
      <alignment vertical="center"/>
    </xf>
    <xf numFmtId="0" fontId="10" fillId="4" borderId="45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vertical="center"/>
    </xf>
    <xf numFmtId="166" fontId="3" fillId="2" borderId="43" xfId="0" applyNumberFormat="1" applyFont="1" applyFill="1" applyBorder="1" applyAlignment="1">
      <alignment horizontal="center" vertical="center"/>
    </xf>
    <xf numFmtId="165" fontId="3" fillId="4" borderId="50" xfId="0" applyNumberFormat="1" applyFont="1" applyFill="1" applyBorder="1" applyAlignment="1">
      <alignment horizontal="center" vertical="center"/>
    </xf>
    <xf numFmtId="0" fontId="7" fillId="2" borderId="61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vertical="center"/>
    </xf>
    <xf numFmtId="0" fontId="3" fillId="2" borderId="102" xfId="0" applyFont="1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/>
    </xf>
    <xf numFmtId="0" fontId="3" fillId="4" borderId="75" xfId="0" applyFont="1" applyFill="1" applyBorder="1" applyAlignment="1">
      <alignment horizontal="center" vertical="center"/>
    </xf>
    <xf numFmtId="0" fontId="13" fillId="0" borderId="1" xfId="0" applyFont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0"/>
  <sheetViews>
    <sheetView tabSelected="1" zoomScale="55" zoomScaleNormal="55" workbookViewId="0">
      <selection activeCell="E10" sqref="E10:G11"/>
    </sheetView>
  </sheetViews>
  <sheetFormatPr defaultColWidth="14.42578125" defaultRowHeight="15" customHeight="1" x14ac:dyDescent="0.25"/>
  <cols>
    <col min="1" max="1" width="1.5703125" style="37" customWidth="1"/>
    <col min="2" max="2" width="3.85546875" style="37" customWidth="1"/>
    <col min="3" max="3" width="8.5703125" style="37" customWidth="1"/>
    <col min="4" max="4" width="9.42578125" style="37" customWidth="1"/>
    <col min="5" max="5" width="7.140625" style="37" customWidth="1"/>
    <col min="6" max="6" width="11.85546875" style="37" customWidth="1"/>
    <col min="7" max="7" width="3.85546875" style="37" customWidth="1"/>
    <col min="8" max="9" width="12.5703125" style="37" customWidth="1"/>
    <col min="10" max="10" width="16.5703125" style="37" customWidth="1"/>
    <col min="11" max="12" width="3.85546875" style="37" customWidth="1"/>
    <col min="13" max="13" width="13.7109375" style="37" customWidth="1"/>
    <col min="14" max="16" width="3.85546875" style="37" customWidth="1"/>
    <col min="17" max="17" width="19.5703125" style="37" customWidth="1"/>
    <col min="18" max="19" width="12.140625" style="37" customWidth="1"/>
    <col min="20" max="20" width="9.7109375" style="37" customWidth="1"/>
    <col min="21" max="21" width="3.85546875" style="37" customWidth="1"/>
    <col min="22" max="22" width="12.140625" style="37" customWidth="1"/>
    <col min="23" max="24" width="3.85546875" style="37" customWidth="1"/>
    <col min="25" max="25" width="22.140625" style="37" customWidth="1"/>
    <col min="26" max="26" width="3.85546875" style="37" customWidth="1"/>
    <col min="27" max="27" width="17.7109375" style="37" customWidth="1"/>
    <col min="28" max="28" width="5.85546875" style="37" customWidth="1"/>
    <col min="29" max="29" width="15.140625" style="37" customWidth="1"/>
    <col min="30" max="30" width="4.42578125" style="37" customWidth="1"/>
    <col min="31" max="31" width="5.28515625" style="37" customWidth="1"/>
    <col min="32" max="32" width="12.5703125" style="37" customWidth="1"/>
    <col min="33" max="33" width="8.5703125" style="37" customWidth="1"/>
    <col min="34" max="34" width="11.5703125" style="37" customWidth="1"/>
    <col min="35" max="35" width="4.42578125" style="37" customWidth="1"/>
    <col min="36" max="36" width="4.7109375" style="37" customWidth="1"/>
    <col min="37" max="37" width="14" style="37" customWidth="1"/>
    <col min="38" max="38" width="17.42578125" style="37" customWidth="1"/>
    <col min="39" max="40" width="3.85546875" style="37" customWidth="1"/>
    <col min="41" max="41" width="94.28515625" style="37" bestFit="1" customWidth="1"/>
    <col min="42" max="42" width="3.85546875" style="37" customWidth="1"/>
    <col min="43" max="43" width="19.140625" style="37" customWidth="1"/>
    <col min="44" max="44" width="3.85546875" style="37" customWidth="1"/>
    <col min="45" max="45" width="17.140625" style="37" customWidth="1"/>
    <col min="46" max="46" width="3.85546875" style="37" customWidth="1"/>
    <col min="47" max="47" width="8.5703125" style="37" customWidth="1"/>
    <col min="48" max="48" width="3.85546875" style="37" customWidth="1"/>
    <col min="49" max="49" width="13.28515625" style="37" customWidth="1"/>
    <col min="50" max="50" width="15.42578125" style="37" customWidth="1"/>
    <col min="51" max="51" width="3.85546875" style="37" customWidth="1"/>
    <col min="52" max="52" width="13" style="37" customWidth="1"/>
    <col min="53" max="54" width="3.85546875" style="37" customWidth="1"/>
    <col min="55" max="55" width="18.85546875" style="37" customWidth="1"/>
    <col min="56" max="56" width="3.85546875" style="37" customWidth="1"/>
    <col min="57" max="57" width="19" style="37" customWidth="1"/>
    <col min="58" max="59" width="3.85546875" style="37" customWidth="1"/>
    <col min="60" max="60" width="6.140625" style="37" customWidth="1"/>
    <col min="61" max="61" width="11.28515625" style="37" bestFit="1" customWidth="1"/>
    <col min="62" max="62" width="7" style="37" bestFit="1" customWidth="1"/>
    <col min="63" max="64" width="2.5703125" style="37" bestFit="1" customWidth="1"/>
  </cols>
  <sheetData>
    <row r="1" spans="1:64" ht="9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2">
        <v>0</v>
      </c>
      <c r="BJ1" s="2">
        <v>-2</v>
      </c>
      <c r="BK1" s="1"/>
      <c r="BL1" s="1"/>
    </row>
    <row r="2" spans="1:64" ht="19.5" customHeight="1" x14ac:dyDescent="0.25">
      <c r="A2" s="1"/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1"/>
      <c r="O2" s="42" t="str">
        <f>"Attribute Values (Base Total:"&amp;R4+R5+R6+R7+AC4+AC5+AC6+AC7&amp;")"</f>
        <v>Attribute Values (Base Total:0)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4"/>
      <c r="AK2" s="1"/>
      <c r="AL2" s="42" t="s">
        <v>1</v>
      </c>
      <c r="AM2" s="43"/>
      <c r="AN2" s="43"/>
      <c r="AO2" s="43"/>
      <c r="AP2" s="43"/>
      <c r="AQ2" s="43"/>
      <c r="AR2" s="43"/>
      <c r="AS2" s="43"/>
      <c r="AT2" s="43"/>
      <c r="AU2" s="43"/>
      <c r="AV2" s="44"/>
      <c r="AW2" s="1"/>
      <c r="AX2" s="42" t="s">
        <v>2</v>
      </c>
      <c r="AY2" s="43"/>
      <c r="AZ2" s="43"/>
      <c r="BA2" s="43"/>
      <c r="BB2" s="43"/>
      <c r="BC2" s="44"/>
      <c r="BD2" s="1"/>
      <c r="BE2" s="42" t="s">
        <v>3</v>
      </c>
      <c r="BF2" s="43"/>
      <c r="BG2" s="43"/>
      <c r="BH2" s="44"/>
      <c r="BI2" s="2">
        <v>1</v>
      </c>
      <c r="BJ2" s="2">
        <v>-1</v>
      </c>
      <c r="BK2" s="1"/>
      <c r="BL2" s="1"/>
    </row>
    <row r="3" spans="1:64" ht="19.5" customHeight="1" x14ac:dyDescent="0.25">
      <c r="A3" s="1"/>
      <c r="B3" s="113" t="s">
        <v>4</v>
      </c>
      <c r="C3" s="65"/>
      <c r="D3" s="54"/>
      <c r="E3" s="78"/>
      <c r="F3" s="65"/>
      <c r="G3" s="65"/>
      <c r="H3" s="65"/>
      <c r="I3" s="65"/>
      <c r="J3" s="65"/>
      <c r="K3" s="65"/>
      <c r="L3" s="65"/>
      <c r="M3" s="66"/>
      <c r="N3" s="1"/>
      <c r="O3" s="205" t="s">
        <v>4</v>
      </c>
      <c r="P3" s="65"/>
      <c r="Q3" s="54"/>
      <c r="R3" s="155" t="s">
        <v>5</v>
      </c>
      <c r="S3" s="54"/>
      <c r="T3" s="155" t="s">
        <v>6</v>
      </c>
      <c r="U3" s="54"/>
      <c r="V3" s="155" t="s">
        <v>7</v>
      </c>
      <c r="W3" s="54"/>
      <c r="X3" s="111" t="s">
        <v>8</v>
      </c>
      <c r="Y3" s="112"/>
      <c r="Z3" s="67" t="s">
        <v>4</v>
      </c>
      <c r="AA3" s="65"/>
      <c r="AB3" s="54"/>
      <c r="AC3" s="155" t="s">
        <v>5</v>
      </c>
      <c r="AD3" s="54"/>
      <c r="AE3" s="155" t="s">
        <v>6</v>
      </c>
      <c r="AF3" s="54"/>
      <c r="AG3" s="155" t="s">
        <v>7</v>
      </c>
      <c r="AH3" s="54"/>
      <c r="AI3" s="156" t="s">
        <v>8</v>
      </c>
      <c r="AJ3" s="66"/>
      <c r="AK3" s="1"/>
      <c r="AL3" s="208"/>
      <c r="AM3" s="48"/>
      <c r="AN3" s="48"/>
      <c r="AO3" s="48"/>
      <c r="AP3" s="48"/>
      <c r="AQ3" s="48"/>
      <c r="AR3" s="48"/>
      <c r="AS3" s="48"/>
      <c r="AT3" s="48"/>
      <c r="AU3" s="48"/>
      <c r="AV3" s="63"/>
      <c r="AW3" s="1"/>
      <c r="AX3" s="187" t="s">
        <v>9</v>
      </c>
      <c r="AY3" s="54"/>
      <c r="AZ3" s="203" t="s">
        <v>10</v>
      </c>
      <c r="BA3" s="54"/>
      <c r="BB3" s="188" t="s">
        <v>11</v>
      </c>
      <c r="BC3" s="66"/>
      <c r="BD3" s="1"/>
      <c r="BE3" s="187" t="s">
        <v>12</v>
      </c>
      <c r="BF3" s="54"/>
      <c r="BG3" s="188" t="s">
        <v>13</v>
      </c>
      <c r="BH3" s="66"/>
      <c r="BI3" s="2">
        <v>2</v>
      </c>
      <c r="BJ3" s="2">
        <v>0</v>
      </c>
      <c r="BK3" s="1"/>
      <c r="BL3" s="1"/>
    </row>
    <row r="4" spans="1:64" ht="19.5" customHeight="1" x14ac:dyDescent="0.25">
      <c r="A4" s="1"/>
      <c r="B4" s="178" t="s">
        <v>14</v>
      </c>
      <c r="C4" s="65"/>
      <c r="D4" s="54"/>
      <c r="E4" s="87"/>
      <c r="F4" s="65"/>
      <c r="G4" s="54"/>
      <c r="H4" s="135" t="s">
        <v>15</v>
      </c>
      <c r="I4" s="65"/>
      <c r="J4" s="54"/>
      <c r="K4" s="81"/>
      <c r="L4" s="65"/>
      <c r="M4" s="66"/>
      <c r="N4" s="1"/>
      <c r="O4" s="79" t="s">
        <v>12</v>
      </c>
      <c r="P4" s="65"/>
      <c r="Q4" s="54"/>
      <c r="R4" s="87"/>
      <c r="S4" s="54"/>
      <c r="T4" s="87">
        <f>SUM(AA12:AJ12)</f>
        <v>0</v>
      </c>
      <c r="U4" s="54"/>
      <c r="V4" s="87"/>
      <c r="W4" s="54"/>
      <c r="X4" s="183">
        <f>R4+T4+V4+BI58</f>
        <v>0</v>
      </c>
      <c r="Y4" s="112"/>
      <c r="Z4" s="176" t="s">
        <v>16</v>
      </c>
      <c r="AA4" s="65"/>
      <c r="AB4" s="54"/>
      <c r="AC4" s="87"/>
      <c r="AD4" s="54"/>
      <c r="AE4" s="87">
        <f>SUM(AA16:AJ16)</f>
        <v>0</v>
      </c>
      <c r="AF4" s="54"/>
      <c r="AG4" s="87"/>
      <c r="AH4" s="54"/>
      <c r="AI4" s="81">
        <f>AC4+AE4+AG4</f>
        <v>0</v>
      </c>
      <c r="AJ4" s="66"/>
      <c r="AK4" s="1"/>
      <c r="AL4" s="146"/>
      <c r="AM4" s="69"/>
      <c r="AN4" s="69"/>
      <c r="AO4" s="69"/>
      <c r="AP4" s="69"/>
      <c r="AQ4" s="69"/>
      <c r="AR4" s="69"/>
      <c r="AS4" s="69"/>
      <c r="AT4" s="69"/>
      <c r="AU4" s="69"/>
      <c r="AV4" s="147"/>
      <c r="AW4" s="1"/>
      <c r="AX4" s="79" t="s">
        <v>17</v>
      </c>
      <c r="AY4" s="54"/>
      <c r="AZ4" s="87"/>
      <c r="BA4" s="54"/>
      <c r="BB4" s="81"/>
      <c r="BC4" s="66"/>
      <c r="BD4" s="1"/>
      <c r="BE4" s="53">
        <v>0</v>
      </c>
      <c r="BF4" s="54"/>
      <c r="BG4" s="78">
        <v>-2</v>
      </c>
      <c r="BH4" s="66"/>
      <c r="BI4" s="2">
        <v>3</v>
      </c>
      <c r="BJ4" s="2">
        <v>1</v>
      </c>
      <c r="BK4" s="1"/>
      <c r="BL4" s="1"/>
    </row>
    <row r="5" spans="1:64" ht="19.5" customHeight="1" x14ac:dyDescent="0.25">
      <c r="A5" s="1"/>
      <c r="B5" s="113" t="s">
        <v>18</v>
      </c>
      <c r="C5" s="65"/>
      <c r="D5" s="54"/>
      <c r="E5" s="88"/>
      <c r="F5" s="65"/>
      <c r="G5" s="54"/>
      <c r="H5" s="177" t="s">
        <v>19</v>
      </c>
      <c r="I5" s="65"/>
      <c r="J5" s="54"/>
      <c r="K5" s="78"/>
      <c r="L5" s="65"/>
      <c r="M5" s="66"/>
      <c r="N5" s="1"/>
      <c r="O5" s="53" t="s">
        <v>20</v>
      </c>
      <c r="P5" s="65"/>
      <c r="Q5" s="54"/>
      <c r="R5" s="88"/>
      <c r="S5" s="54"/>
      <c r="T5" s="88">
        <f>SUM(AA13:AJ13)</f>
        <v>0</v>
      </c>
      <c r="U5" s="54"/>
      <c r="V5" s="88"/>
      <c r="W5" s="54"/>
      <c r="X5" s="114">
        <f>R5+T5+V5+BI58</f>
        <v>0</v>
      </c>
      <c r="Y5" s="112"/>
      <c r="Z5" s="86" t="s">
        <v>21</v>
      </c>
      <c r="AA5" s="65"/>
      <c r="AB5" s="54"/>
      <c r="AC5" s="88"/>
      <c r="AD5" s="54"/>
      <c r="AE5" s="88">
        <f>SUM(AA17:AJ17)</f>
        <v>0</v>
      </c>
      <c r="AF5" s="54"/>
      <c r="AG5" s="88"/>
      <c r="AH5" s="54"/>
      <c r="AI5" s="78">
        <f>AC5+AE5+AG5</f>
        <v>0</v>
      </c>
      <c r="AJ5" s="66"/>
      <c r="AK5" s="1"/>
      <c r="AL5" s="146"/>
      <c r="AM5" s="69"/>
      <c r="AN5" s="69"/>
      <c r="AO5" s="69"/>
      <c r="AP5" s="69"/>
      <c r="AQ5" s="69"/>
      <c r="AR5" s="69"/>
      <c r="AS5" s="69"/>
      <c r="AT5" s="69"/>
      <c r="AU5" s="69"/>
      <c r="AV5" s="147"/>
      <c r="AW5" s="1"/>
      <c r="AX5" s="53" t="s">
        <v>22</v>
      </c>
      <c r="AY5" s="54"/>
      <c r="AZ5" s="88"/>
      <c r="BA5" s="54"/>
      <c r="BB5" s="78"/>
      <c r="BC5" s="66"/>
      <c r="BD5" s="1"/>
      <c r="BE5" s="79">
        <v>1</v>
      </c>
      <c r="BF5" s="54"/>
      <c r="BG5" s="81">
        <v>-1</v>
      </c>
      <c r="BH5" s="66"/>
      <c r="BI5" s="2">
        <v>4</v>
      </c>
      <c r="BJ5" s="2" t="s">
        <v>23</v>
      </c>
      <c r="BK5" s="1"/>
      <c r="BL5" s="1"/>
    </row>
    <row r="6" spans="1:64" ht="19.5" customHeight="1" x14ac:dyDescent="0.25">
      <c r="A6" s="1"/>
      <c r="B6" s="178" t="s">
        <v>24</v>
      </c>
      <c r="C6" s="65"/>
      <c r="D6" s="54"/>
      <c r="E6" s="87"/>
      <c r="F6" s="65"/>
      <c r="G6" s="54"/>
      <c r="H6" s="135" t="s">
        <v>25</v>
      </c>
      <c r="I6" s="65"/>
      <c r="J6" s="54"/>
      <c r="K6" s="81" t="s">
        <v>26</v>
      </c>
      <c r="L6" s="65"/>
      <c r="M6" s="66"/>
      <c r="N6" s="1"/>
      <c r="O6" s="79" t="s">
        <v>27</v>
      </c>
      <c r="P6" s="65"/>
      <c r="Q6" s="54"/>
      <c r="R6" s="87"/>
      <c r="S6" s="54"/>
      <c r="T6" s="87">
        <f>SUM(AA14:AJ14)</f>
        <v>0</v>
      </c>
      <c r="U6" s="54"/>
      <c r="V6" s="87"/>
      <c r="W6" s="54"/>
      <c r="X6" s="183">
        <f>R6+T6+V6</f>
        <v>0</v>
      </c>
      <c r="Y6" s="112"/>
      <c r="Z6" s="176" t="s">
        <v>28</v>
      </c>
      <c r="AA6" s="65"/>
      <c r="AB6" s="54"/>
      <c r="AC6" s="87"/>
      <c r="AD6" s="54"/>
      <c r="AE6" s="87">
        <f>SUM(AA18:AJ18)</f>
        <v>0</v>
      </c>
      <c r="AF6" s="54"/>
      <c r="AG6" s="87"/>
      <c r="AH6" s="54"/>
      <c r="AI6" s="81">
        <f>AC6+AE6+AG6</f>
        <v>0</v>
      </c>
      <c r="AJ6" s="66"/>
      <c r="AK6" s="1"/>
      <c r="AL6" s="146"/>
      <c r="AM6" s="69"/>
      <c r="AN6" s="69"/>
      <c r="AO6" s="69"/>
      <c r="AP6" s="69"/>
      <c r="AQ6" s="69"/>
      <c r="AR6" s="69"/>
      <c r="AS6" s="69"/>
      <c r="AT6" s="69"/>
      <c r="AU6" s="69"/>
      <c r="AV6" s="147"/>
      <c r="AW6" s="1"/>
      <c r="AX6" s="79" t="s">
        <v>29</v>
      </c>
      <c r="AY6" s="54"/>
      <c r="AZ6" s="87"/>
      <c r="BA6" s="54"/>
      <c r="BB6" s="81"/>
      <c r="BC6" s="66"/>
      <c r="BD6" s="1"/>
      <c r="BE6" s="53">
        <v>2</v>
      </c>
      <c r="BF6" s="54"/>
      <c r="BG6" s="78">
        <v>0</v>
      </c>
      <c r="BH6" s="66"/>
      <c r="BI6" s="2">
        <v>5</v>
      </c>
      <c r="BJ6" s="2" t="s">
        <v>30</v>
      </c>
      <c r="BK6" s="1"/>
      <c r="BL6" s="1"/>
    </row>
    <row r="7" spans="1:64" ht="19.5" customHeight="1" x14ac:dyDescent="0.25">
      <c r="A7" s="1"/>
      <c r="B7" s="223" t="s">
        <v>31</v>
      </c>
      <c r="C7" s="96"/>
      <c r="D7" s="46"/>
      <c r="E7" s="45"/>
      <c r="F7" s="96"/>
      <c r="G7" s="46"/>
      <c r="H7" s="180" t="s">
        <v>9</v>
      </c>
      <c r="I7" s="96"/>
      <c r="J7" s="46"/>
      <c r="K7" s="120" t="s">
        <v>32</v>
      </c>
      <c r="L7" s="96"/>
      <c r="M7" s="98"/>
      <c r="N7" s="1"/>
      <c r="O7" s="137" t="s">
        <v>33</v>
      </c>
      <c r="P7" s="96"/>
      <c r="Q7" s="46"/>
      <c r="R7" s="45"/>
      <c r="S7" s="46"/>
      <c r="T7" s="45">
        <f>SUM(AA15:AJ15)</f>
        <v>0</v>
      </c>
      <c r="U7" s="46"/>
      <c r="V7" s="45"/>
      <c r="W7" s="46"/>
      <c r="X7" s="197">
        <f>R7+T7+V7</f>
        <v>0</v>
      </c>
      <c r="Y7" s="198"/>
      <c r="Z7" s="152" t="s">
        <v>34</v>
      </c>
      <c r="AA7" s="96"/>
      <c r="AB7" s="46"/>
      <c r="AC7" s="45"/>
      <c r="AD7" s="46"/>
      <c r="AE7" s="45">
        <f>SUM(AA19:AJ19)</f>
        <v>0</v>
      </c>
      <c r="AF7" s="46"/>
      <c r="AG7" s="45"/>
      <c r="AH7" s="46"/>
      <c r="AI7" s="120">
        <f>AC7+AE7+AG7</f>
        <v>0</v>
      </c>
      <c r="AJ7" s="98"/>
      <c r="AK7" s="1"/>
      <c r="AL7" s="146"/>
      <c r="AM7" s="69"/>
      <c r="AN7" s="69"/>
      <c r="AO7" s="69"/>
      <c r="AP7" s="69"/>
      <c r="AQ7" s="69"/>
      <c r="AR7" s="69"/>
      <c r="AS7" s="69"/>
      <c r="AT7" s="69"/>
      <c r="AU7" s="69"/>
      <c r="AV7" s="147"/>
      <c r="AW7" s="1"/>
      <c r="AX7" s="53" t="s">
        <v>35</v>
      </c>
      <c r="AY7" s="54"/>
      <c r="AZ7" s="88"/>
      <c r="BA7" s="54"/>
      <c r="BB7" s="78"/>
      <c r="BC7" s="66"/>
      <c r="BD7" s="1"/>
      <c r="BE7" s="79">
        <v>3</v>
      </c>
      <c r="BF7" s="54"/>
      <c r="BG7" s="81">
        <v>1</v>
      </c>
      <c r="BH7" s="66"/>
      <c r="BI7" s="2">
        <v>6</v>
      </c>
      <c r="BJ7" s="2" t="s">
        <v>36</v>
      </c>
      <c r="BK7" s="1"/>
      <c r="BL7" s="1"/>
    </row>
    <row r="8" spans="1:64" ht="19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46"/>
      <c r="AM8" s="69"/>
      <c r="AN8" s="69"/>
      <c r="AO8" s="69"/>
      <c r="AP8" s="69"/>
      <c r="AQ8" s="69"/>
      <c r="AR8" s="69"/>
      <c r="AS8" s="69"/>
      <c r="AT8" s="69"/>
      <c r="AU8" s="69"/>
      <c r="AV8" s="147"/>
      <c r="AW8" s="1"/>
      <c r="AX8" s="79" t="s">
        <v>37</v>
      </c>
      <c r="AY8" s="54"/>
      <c r="AZ8" s="87"/>
      <c r="BA8" s="54"/>
      <c r="BB8" s="81"/>
      <c r="BC8" s="66"/>
      <c r="BD8" s="1"/>
      <c r="BE8" s="53">
        <v>4</v>
      </c>
      <c r="BF8" s="54"/>
      <c r="BG8" s="78" t="s">
        <v>23</v>
      </c>
      <c r="BH8" s="66"/>
      <c r="BI8" s="2">
        <v>7</v>
      </c>
      <c r="BJ8" s="2" t="s">
        <v>38</v>
      </c>
      <c r="BK8" s="1"/>
      <c r="BL8" s="1"/>
    </row>
    <row r="9" spans="1:64" ht="19.5" customHeight="1" x14ac:dyDescent="0.25">
      <c r="A9" s="1"/>
      <c r="B9" s="42" t="s">
        <v>39</v>
      </c>
      <c r="C9" s="43"/>
      <c r="D9" s="43"/>
      <c r="E9" s="43"/>
      <c r="F9" s="43"/>
      <c r="G9" s="44"/>
      <c r="H9" s="1"/>
      <c r="I9" s="42" t="s">
        <v>40</v>
      </c>
      <c r="J9" s="43"/>
      <c r="K9" s="43"/>
      <c r="L9" s="43"/>
      <c r="M9" s="43"/>
      <c r="N9" s="44"/>
      <c r="O9" s="1"/>
      <c r="P9" s="42" t="s">
        <v>41</v>
      </c>
      <c r="Q9" s="43"/>
      <c r="R9" s="43"/>
      <c r="S9" s="43"/>
      <c r="T9" s="43"/>
      <c r="U9" s="43"/>
      <c r="V9" s="43"/>
      <c r="W9" s="44"/>
      <c r="X9" s="1"/>
      <c r="Y9" s="42" t="s">
        <v>42</v>
      </c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4"/>
      <c r="AK9" s="1"/>
      <c r="AL9" s="146"/>
      <c r="AM9" s="69"/>
      <c r="AN9" s="69"/>
      <c r="AO9" s="69"/>
      <c r="AP9" s="69"/>
      <c r="AQ9" s="69"/>
      <c r="AR9" s="69"/>
      <c r="AS9" s="69"/>
      <c r="AT9" s="69"/>
      <c r="AU9" s="69"/>
      <c r="AV9" s="147"/>
      <c r="AW9" s="1"/>
      <c r="AX9" s="53" t="s">
        <v>43</v>
      </c>
      <c r="AY9" s="54"/>
      <c r="AZ9" s="88"/>
      <c r="BA9" s="54"/>
      <c r="BB9" s="78"/>
      <c r="BC9" s="66"/>
      <c r="BD9" s="1"/>
      <c r="BE9" s="79">
        <v>5</v>
      </c>
      <c r="BF9" s="54"/>
      <c r="BG9" s="81" t="s">
        <v>30</v>
      </c>
      <c r="BH9" s="66"/>
      <c r="BI9" s="2">
        <v>8</v>
      </c>
      <c r="BJ9" s="2" t="s">
        <v>44</v>
      </c>
      <c r="BK9" s="1"/>
      <c r="BL9" s="1"/>
    </row>
    <row r="10" spans="1:64" ht="19.5" customHeight="1" x14ac:dyDescent="0.25">
      <c r="A10" s="1"/>
      <c r="B10" s="47">
        <f>Tables!V7+D13-D12</f>
        <v>10</v>
      </c>
      <c r="C10" s="48"/>
      <c r="D10" s="48"/>
      <c r="E10" s="73" t="str">
        <f>"/"&amp;Tables!V7+D13</f>
        <v>/10</v>
      </c>
      <c r="F10" s="48"/>
      <c r="G10" s="63"/>
      <c r="H10" s="1"/>
      <c r="I10" s="47">
        <f>Tables!V6+K13-K12</f>
        <v>0</v>
      </c>
      <c r="J10" s="48"/>
      <c r="K10" s="48"/>
      <c r="L10" s="73" t="str">
        <f>"/"&amp;Tables!V6+K13</f>
        <v>/0</v>
      </c>
      <c r="M10" s="48"/>
      <c r="N10" s="63"/>
      <c r="O10" s="1"/>
      <c r="P10" s="53" t="s">
        <v>45</v>
      </c>
      <c r="Q10" s="54"/>
      <c r="R10" s="88">
        <f>10+X5+R17+Tables!A21+G45+V10</f>
        <v>12</v>
      </c>
      <c r="S10" s="54"/>
      <c r="T10" s="88" t="s">
        <v>46</v>
      </c>
      <c r="U10" s="54"/>
      <c r="V10" s="78">
        <v>0</v>
      </c>
      <c r="W10" s="66"/>
      <c r="X10" s="1"/>
      <c r="Y10" s="128" t="s">
        <v>9</v>
      </c>
      <c r="Z10" s="52"/>
      <c r="AA10" s="157">
        <v>9</v>
      </c>
      <c r="AB10" s="157">
        <v>8</v>
      </c>
      <c r="AC10" s="157">
        <v>7</v>
      </c>
      <c r="AD10" s="157">
        <v>6</v>
      </c>
      <c r="AE10" s="157">
        <v>5</v>
      </c>
      <c r="AF10" s="157">
        <v>4</v>
      </c>
      <c r="AG10" s="157">
        <v>3</v>
      </c>
      <c r="AH10" s="157">
        <v>2</v>
      </c>
      <c r="AI10" s="157">
        <v>1</v>
      </c>
      <c r="AJ10" s="168">
        <v>0</v>
      </c>
      <c r="AK10" s="1"/>
      <c r="AL10" s="146"/>
      <c r="AM10" s="69"/>
      <c r="AN10" s="69"/>
      <c r="AO10" s="69"/>
      <c r="AP10" s="69"/>
      <c r="AQ10" s="69"/>
      <c r="AR10" s="69"/>
      <c r="AS10" s="69"/>
      <c r="AT10" s="69"/>
      <c r="AU10" s="69"/>
      <c r="AV10" s="147"/>
      <c r="AW10" s="1"/>
      <c r="AX10" s="79" t="s">
        <v>47</v>
      </c>
      <c r="AY10" s="54"/>
      <c r="AZ10" s="87"/>
      <c r="BA10" s="54"/>
      <c r="BB10" s="81"/>
      <c r="BC10" s="66"/>
      <c r="BD10" s="1"/>
      <c r="BE10" s="53">
        <v>6</v>
      </c>
      <c r="BF10" s="54"/>
      <c r="BG10" s="78" t="s">
        <v>36</v>
      </c>
      <c r="BH10" s="66"/>
      <c r="BI10" s="2">
        <v>9</v>
      </c>
      <c r="BJ10" s="2" t="s">
        <v>48</v>
      </c>
      <c r="BK10" s="1"/>
      <c r="BL10" s="1"/>
    </row>
    <row r="11" spans="1:64" ht="19.5" customHeight="1" x14ac:dyDescent="0.25">
      <c r="A11" s="1"/>
      <c r="B11" s="49"/>
      <c r="C11" s="50"/>
      <c r="D11" s="50"/>
      <c r="E11" s="50"/>
      <c r="F11" s="50"/>
      <c r="G11" s="74"/>
      <c r="H11" s="1"/>
      <c r="I11" s="49"/>
      <c r="J11" s="50"/>
      <c r="K11" s="50"/>
      <c r="L11" s="50"/>
      <c r="M11" s="50"/>
      <c r="N11" s="74"/>
      <c r="O11" s="1"/>
      <c r="P11" s="79" t="s">
        <v>27</v>
      </c>
      <c r="Q11" s="54"/>
      <c r="R11" s="87">
        <f>10+X6+V11</f>
        <v>10</v>
      </c>
      <c r="S11" s="54"/>
      <c r="T11" s="87" t="s">
        <v>46</v>
      </c>
      <c r="U11" s="54"/>
      <c r="V11" s="81">
        <v>0</v>
      </c>
      <c r="W11" s="66"/>
      <c r="X11" s="1"/>
      <c r="Y11" s="49"/>
      <c r="Z11" s="129"/>
      <c r="AA11" s="158"/>
      <c r="AB11" s="158"/>
      <c r="AC11" s="158"/>
      <c r="AD11" s="158"/>
      <c r="AE11" s="158"/>
      <c r="AF11" s="158"/>
      <c r="AG11" s="158"/>
      <c r="AH11" s="158"/>
      <c r="AI11" s="158"/>
      <c r="AJ11" s="169"/>
      <c r="AK11" s="1"/>
      <c r="AL11" s="146"/>
      <c r="AM11" s="69"/>
      <c r="AN11" s="69"/>
      <c r="AO11" s="69"/>
      <c r="AP11" s="69"/>
      <c r="AQ11" s="69"/>
      <c r="AR11" s="69"/>
      <c r="AS11" s="69"/>
      <c r="AT11" s="69"/>
      <c r="AU11" s="69"/>
      <c r="AV11" s="147"/>
      <c r="AW11" s="1"/>
      <c r="AX11" s="53" t="s">
        <v>49</v>
      </c>
      <c r="AY11" s="54"/>
      <c r="AZ11" s="88"/>
      <c r="BA11" s="54"/>
      <c r="BB11" s="78"/>
      <c r="BC11" s="66"/>
      <c r="BD11" s="1"/>
      <c r="BE11" s="79">
        <v>7</v>
      </c>
      <c r="BF11" s="54"/>
      <c r="BG11" s="81" t="s">
        <v>38</v>
      </c>
      <c r="BH11" s="66"/>
      <c r="BI11" s="2">
        <v>10</v>
      </c>
      <c r="BJ11" s="2" t="s">
        <v>50</v>
      </c>
      <c r="BK11" s="1"/>
      <c r="BL11" s="1"/>
    </row>
    <row r="12" spans="1:64" ht="19.5" customHeight="1" x14ac:dyDescent="0.25">
      <c r="A12" s="1"/>
      <c r="B12" s="53" t="s">
        <v>51</v>
      </c>
      <c r="C12" s="54"/>
      <c r="D12" s="78">
        <v>0</v>
      </c>
      <c r="E12" s="65"/>
      <c r="F12" s="65"/>
      <c r="G12" s="66"/>
      <c r="H12" s="1"/>
      <c r="I12" s="53" t="s">
        <v>51</v>
      </c>
      <c r="J12" s="54"/>
      <c r="K12" s="78">
        <v>0</v>
      </c>
      <c r="L12" s="65"/>
      <c r="M12" s="65"/>
      <c r="N12" s="66"/>
      <c r="O12" s="1"/>
      <c r="P12" s="53" t="s">
        <v>52</v>
      </c>
      <c r="Q12" s="54"/>
      <c r="R12" s="88">
        <f>10+R7+V12</f>
        <v>10</v>
      </c>
      <c r="S12" s="54"/>
      <c r="T12" s="88" t="s">
        <v>46</v>
      </c>
      <c r="U12" s="54"/>
      <c r="V12" s="78">
        <v>0</v>
      </c>
      <c r="W12" s="66"/>
      <c r="X12" s="1"/>
      <c r="Y12" s="79" t="s">
        <v>12</v>
      </c>
      <c r="Z12" s="54"/>
      <c r="AA12" s="3"/>
      <c r="AB12" s="4"/>
      <c r="AC12" s="4"/>
      <c r="AD12" s="4"/>
      <c r="AE12" s="4"/>
      <c r="AF12" s="4"/>
      <c r="AG12" s="4"/>
      <c r="AH12" s="4"/>
      <c r="AI12" s="4"/>
      <c r="AJ12" s="5"/>
      <c r="AK12" s="1"/>
      <c r="AL12" s="146"/>
      <c r="AM12" s="69"/>
      <c r="AN12" s="69"/>
      <c r="AO12" s="69"/>
      <c r="AP12" s="69"/>
      <c r="AQ12" s="69"/>
      <c r="AR12" s="69"/>
      <c r="AS12" s="69"/>
      <c r="AT12" s="69"/>
      <c r="AU12" s="69"/>
      <c r="AV12" s="147"/>
      <c r="AW12" s="1"/>
      <c r="AX12" s="79" t="s">
        <v>53</v>
      </c>
      <c r="AY12" s="54"/>
      <c r="AZ12" s="87"/>
      <c r="BA12" s="54"/>
      <c r="BB12" s="81"/>
      <c r="BC12" s="66"/>
      <c r="BD12" s="1"/>
      <c r="BE12" s="53">
        <v>8</v>
      </c>
      <c r="BF12" s="54"/>
      <c r="BG12" s="78" t="s">
        <v>44</v>
      </c>
      <c r="BH12" s="66"/>
      <c r="BI12" s="2">
        <v>11</v>
      </c>
      <c r="BJ12" s="2" t="s">
        <v>54</v>
      </c>
      <c r="BK12" s="1"/>
      <c r="BL12" s="1"/>
    </row>
    <row r="13" spans="1:64" ht="19.5" customHeight="1" x14ac:dyDescent="0.25">
      <c r="A13" s="1"/>
      <c r="B13" s="93" t="s">
        <v>46</v>
      </c>
      <c r="C13" s="46"/>
      <c r="D13" s="97">
        <v>0</v>
      </c>
      <c r="E13" s="96"/>
      <c r="F13" s="96"/>
      <c r="G13" s="98"/>
      <c r="H13" s="1"/>
      <c r="I13" s="93" t="s">
        <v>46</v>
      </c>
      <c r="J13" s="46"/>
      <c r="K13" s="97">
        <v>0</v>
      </c>
      <c r="L13" s="96"/>
      <c r="M13" s="96"/>
      <c r="N13" s="98"/>
      <c r="O13" s="1"/>
      <c r="P13" s="179" t="s">
        <v>55</v>
      </c>
      <c r="Q13" s="46"/>
      <c r="R13" s="134">
        <f>10+X5+V10+G45+Tables!A21</f>
        <v>12</v>
      </c>
      <c r="S13" s="46"/>
      <c r="T13" s="227" t="s">
        <v>56</v>
      </c>
      <c r="U13" s="46"/>
      <c r="V13" s="97">
        <f>10+R17+V10</f>
        <v>10</v>
      </c>
      <c r="W13" s="98"/>
      <c r="X13" s="1"/>
      <c r="Y13" s="53" t="s">
        <v>20</v>
      </c>
      <c r="Z13" s="54"/>
      <c r="AA13" s="6"/>
      <c r="AB13" s="7"/>
      <c r="AC13" s="7"/>
      <c r="AD13" s="7"/>
      <c r="AE13" s="7"/>
      <c r="AF13" s="7"/>
      <c r="AG13" s="7"/>
      <c r="AH13" s="7"/>
      <c r="AI13" s="7"/>
      <c r="AJ13" s="8"/>
      <c r="AK13" s="1"/>
      <c r="AL13" s="146"/>
      <c r="AM13" s="69"/>
      <c r="AN13" s="69"/>
      <c r="AO13" s="69"/>
      <c r="AP13" s="69"/>
      <c r="AQ13" s="69"/>
      <c r="AR13" s="69"/>
      <c r="AS13" s="69"/>
      <c r="AT13" s="69"/>
      <c r="AU13" s="69"/>
      <c r="AV13" s="147"/>
      <c r="AW13" s="1"/>
      <c r="AX13" s="137" t="s">
        <v>57</v>
      </c>
      <c r="AY13" s="46"/>
      <c r="AZ13" s="45"/>
      <c r="BA13" s="46"/>
      <c r="BB13" s="120"/>
      <c r="BC13" s="98"/>
      <c r="BD13" s="1"/>
      <c r="BE13" s="79">
        <v>9</v>
      </c>
      <c r="BF13" s="54"/>
      <c r="BG13" s="81" t="s">
        <v>48</v>
      </c>
      <c r="BH13" s="66"/>
      <c r="BI13" s="2">
        <v>12</v>
      </c>
      <c r="BJ13" s="2" t="s">
        <v>58</v>
      </c>
      <c r="BK13" s="1"/>
      <c r="BL13" s="1"/>
    </row>
    <row r="14" spans="1:64" ht="19.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9" t="s">
        <v>27</v>
      </c>
      <c r="Z14" s="54"/>
      <c r="AA14" s="3"/>
      <c r="AB14" s="4"/>
      <c r="AC14" s="4"/>
      <c r="AD14" s="4"/>
      <c r="AE14" s="4"/>
      <c r="AF14" s="4"/>
      <c r="AG14" s="4"/>
      <c r="AH14" s="4"/>
      <c r="AI14" s="4"/>
      <c r="AJ14" s="5"/>
      <c r="AK14" s="1"/>
      <c r="AL14" s="146"/>
      <c r="AM14" s="69"/>
      <c r="AN14" s="69"/>
      <c r="AO14" s="69"/>
      <c r="AP14" s="69"/>
      <c r="AQ14" s="69"/>
      <c r="AR14" s="69"/>
      <c r="AS14" s="69"/>
      <c r="AT14" s="69"/>
      <c r="AU14" s="69"/>
      <c r="AV14" s="147"/>
      <c r="AW14" s="1"/>
      <c r="AX14" s="1"/>
      <c r="AY14" s="1"/>
      <c r="AZ14" s="1"/>
      <c r="BA14" s="1"/>
      <c r="BB14" s="1"/>
      <c r="BC14" s="1"/>
      <c r="BD14" s="1"/>
      <c r="BE14" s="53">
        <v>10</v>
      </c>
      <c r="BF14" s="54"/>
      <c r="BG14" s="78" t="s">
        <v>50</v>
      </c>
      <c r="BH14" s="66"/>
      <c r="BI14" s="2">
        <v>13</v>
      </c>
      <c r="BJ14" s="2" t="s">
        <v>59</v>
      </c>
      <c r="BK14" s="1"/>
      <c r="BL14" s="1"/>
    </row>
    <row r="15" spans="1:64" ht="19.5" customHeight="1" x14ac:dyDescent="0.25">
      <c r="A15" s="1"/>
      <c r="B15" s="42" t="s">
        <v>60</v>
      </c>
      <c r="C15" s="43"/>
      <c r="D15" s="43"/>
      <c r="E15" s="43"/>
      <c r="F15" s="43"/>
      <c r="G15" s="44"/>
      <c r="H15" s="1"/>
      <c r="I15" s="42" t="s">
        <v>28</v>
      </c>
      <c r="J15" s="43"/>
      <c r="K15" s="43"/>
      <c r="L15" s="43"/>
      <c r="M15" s="43"/>
      <c r="N15" s="44"/>
      <c r="O15" s="1"/>
      <c r="P15" s="165" t="s">
        <v>61</v>
      </c>
      <c r="Q15" s="132"/>
      <c r="R15" s="132"/>
      <c r="S15" s="132"/>
      <c r="T15" s="132"/>
      <c r="U15" s="132"/>
      <c r="V15" s="132"/>
      <c r="W15" s="133"/>
      <c r="X15" s="1"/>
      <c r="Y15" s="53" t="s">
        <v>33</v>
      </c>
      <c r="Z15" s="54"/>
      <c r="AA15" s="6"/>
      <c r="AB15" s="7"/>
      <c r="AC15" s="7"/>
      <c r="AD15" s="7"/>
      <c r="AE15" s="7"/>
      <c r="AF15" s="7"/>
      <c r="AG15" s="7"/>
      <c r="AH15" s="7"/>
      <c r="AI15" s="7"/>
      <c r="AJ15" s="8"/>
      <c r="AK15" s="1"/>
      <c r="AL15" s="146"/>
      <c r="AM15" s="69"/>
      <c r="AN15" s="69"/>
      <c r="AO15" s="69"/>
      <c r="AP15" s="69"/>
      <c r="AQ15" s="69"/>
      <c r="AR15" s="69"/>
      <c r="AS15" s="69"/>
      <c r="AT15" s="69"/>
      <c r="AU15" s="69"/>
      <c r="AV15" s="147"/>
      <c r="AW15" s="1"/>
      <c r="AX15" s="42" t="s">
        <v>3</v>
      </c>
      <c r="AY15" s="43"/>
      <c r="AZ15" s="43"/>
      <c r="BA15" s="43"/>
      <c r="BB15" s="43"/>
      <c r="BC15" s="44"/>
      <c r="BD15" s="1"/>
      <c r="BE15" s="79">
        <v>11</v>
      </c>
      <c r="BF15" s="54"/>
      <c r="BG15" s="81" t="s">
        <v>54</v>
      </c>
      <c r="BH15" s="66"/>
      <c r="BI15" s="2">
        <v>14</v>
      </c>
      <c r="BJ15" s="2" t="s">
        <v>62</v>
      </c>
      <c r="BK15" s="1"/>
      <c r="BL15" s="1"/>
    </row>
    <row r="16" spans="1:64" ht="19.5" customHeight="1" x14ac:dyDescent="0.25">
      <c r="A16" s="1"/>
      <c r="B16" s="47">
        <f>10+X6+D19-D18</f>
        <v>10</v>
      </c>
      <c r="C16" s="48"/>
      <c r="D16" s="48"/>
      <c r="E16" s="73" t="str">
        <f>"/"&amp;X6+10+D19</f>
        <v>/10</v>
      </c>
      <c r="F16" s="48"/>
      <c r="G16" s="63"/>
      <c r="H16" s="1"/>
      <c r="I16" s="47">
        <f>AI6+K19-K18</f>
        <v>0</v>
      </c>
      <c r="J16" s="48"/>
      <c r="K16" s="48"/>
      <c r="L16" s="73" t="str">
        <f>"/"&amp;AI6+K19</f>
        <v>/0</v>
      </c>
      <c r="M16" s="48"/>
      <c r="N16" s="63"/>
      <c r="O16" s="1"/>
      <c r="P16" s="181" t="s">
        <v>63</v>
      </c>
      <c r="Q16" s="54"/>
      <c r="R16" s="87">
        <f>X4+X5+V16</f>
        <v>0</v>
      </c>
      <c r="S16" s="54"/>
      <c r="T16" s="87" t="s">
        <v>46</v>
      </c>
      <c r="U16" s="54"/>
      <c r="V16" s="124">
        <v>0</v>
      </c>
      <c r="W16" s="76"/>
      <c r="X16" s="1"/>
      <c r="Y16" s="79" t="s">
        <v>16</v>
      </c>
      <c r="Z16" s="54"/>
      <c r="AA16" s="3"/>
      <c r="AB16" s="4"/>
      <c r="AC16" s="4"/>
      <c r="AD16" s="4"/>
      <c r="AE16" s="4"/>
      <c r="AF16" s="4"/>
      <c r="AG16" s="4"/>
      <c r="AH16" s="4"/>
      <c r="AI16" s="4"/>
      <c r="AJ16" s="5"/>
      <c r="AK16" s="1"/>
      <c r="AL16" s="146"/>
      <c r="AM16" s="69"/>
      <c r="AN16" s="69"/>
      <c r="AO16" s="69"/>
      <c r="AP16" s="69"/>
      <c r="AQ16" s="69"/>
      <c r="AR16" s="69"/>
      <c r="AS16" s="69"/>
      <c r="AT16" s="69"/>
      <c r="AU16" s="69"/>
      <c r="AV16" s="147"/>
      <c r="AW16" s="1"/>
      <c r="AX16" s="116" t="s">
        <v>64</v>
      </c>
      <c r="AY16" s="65"/>
      <c r="AZ16" s="65"/>
      <c r="BA16" s="65"/>
      <c r="BB16" s="65"/>
      <c r="BC16" s="66"/>
      <c r="BD16" s="1"/>
      <c r="BE16" s="53">
        <v>12</v>
      </c>
      <c r="BF16" s="54"/>
      <c r="BG16" s="78" t="s">
        <v>58</v>
      </c>
      <c r="BH16" s="66"/>
      <c r="BI16" s="2">
        <v>15</v>
      </c>
      <c r="BJ16" s="2" t="s">
        <v>65</v>
      </c>
      <c r="BK16" s="1"/>
      <c r="BL16" s="1"/>
    </row>
    <row r="17" spans="1:64" ht="19.5" customHeight="1" x14ac:dyDescent="0.25">
      <c r="A17" s="1"/>
      <c r="B17" s="49"/>
      <c r="C17" s="50"/>
      <c r="D17" s="50"/>
      <c r="E17" s="50"/>
      <c r="F17" s="50"/>
      <c r="G17" s="74"/>
      <c r="H17" s="1"/>
      <c r="I17" s="49"/>
      <c r="J17" s="50"/>
      <c r="K17" s="50"/>
      <c r="L17" s="50"/>
      <c r="M17" s="50"/>
      <c r="N17" s="74"/>
      <c r="O17" s="1"/>
      <c r="P17" s="122" t="s">
        <v>66</v>
      </c>
      <c r="Q17" s="54"/>
      <c r="R17" s="126">
        <v>0</v>
      </c>
      <c r="S17" s="65"/>
      <c r="T17" s="65"/>
      <c r="U17" s="65"/>
      <c r="V17" s="65"/>
      <c r="W17" s="76"/>
      <c r="X17" s="1"/>
      <c r="Y17" s="53" t="s">
        <v>21</v>
      </c>
      <c r="Z17" s="54"/>
      <c r="AA17" s="6"/>
      <c r="AB17" s="7"/>
      <c r="AC17" s="7"/>
      <c r="AD17" s="7"/>
      <c r="AE17" s="7"/>
      <c r="AF17" s="7"/>
      <c r="AG17" s="7"/>
      <c r="AH17" s="7"/>
      <c r="AI17" s="7"/>
      <c r="AJ17" s="8"/>
      <c r="AK17" s="1"/>
      <c r="AL17" s="146"/>
      <c r="AM17" s="69"/>
      <c r="AN17" s="69"/>
      <c r="AO17" s="69"/>
      <c r="AP17" s="69"/>
      <c r="AQ17" s="69"/>
      <c r="AR17" s="69"/>
      <c r="AS17" s="69"/>
      <c r="AT17" s="69"/>
      <c r="AU17" s="69"/>
      <c r="AV17" s="147"/>
      <c r="AW17" s="1"/>
      <c r="AX17" s="79">
        <v>20</v>
      </c>
      <c r="AY17" s="65"/>
      <c r="AZ17" s="54"/>
      <c r="BA17" s="81" t="s">
        <v>67</v>
      </c>
      <c r="BB17" s="65"/>
      <c r="BC17" s="66"/>
      <c r="BD17" s="1"/>
      <c r="BE17" s="79">
        <v>13</v>
      </c>
      <c r="BF17" s="54"/>
      <c r="BG17" s="81" t="s">
        <v>59</v>
      </c>
      <c r="BH17" s="66"/>
      <c r="BI17" s="2">
        <v>20</v>
      </c>
      <c r="BJ17" s="2" t="s">
        <v>67</v>
      </c>
      <c r="BK17" s="1"/>
      <c r="BL17" s="1"/>
    </row>
    <row r="18" spans="1:64" ht="19.5" customHeight="1" x14ac:dyDescent="0.25">
      <c r="A18" s="1"/>
      <c r="B18" s="53" t="s">
        <v>51</v>
      </c>
      <c r="C18" s="54"/>
      <c r="D18" s="78">
        <v>0</v>
      </c>
      <c r="E18" s="65"/>
      <c r="F18" s="65"/>
      <c r="G18" s="66"/>
      <c r="H18" s="1"/>
      <c r="I18" s="53" t="s">
        <v>51</v>
      </c>
      <c r="J18" s="54"/>
      <c r="K18" s="78">
        <v>0</v>
      </c>
      <c r="L18" s="65"/>
      <c r="M18" s="65"/>
      <c r="N18" s="66"/>
      <c r="O18" s="1"/>
      <c r="P18" s="181" t="s">
        <v>3</v>
      </c>
      <c r="Q18" s="65"/>
      <c r="R18" s="54"/>
      <c r="S18" s="124">
        <f>VLOOKUP(X4,BI1:BJ19,2,FALSE)</f>
        <v>-2</v>
      </c>
      <c r="T18" s="65"/>
      <c r="U18" s="65"/>
      <c r="V18" s="65"/>
      <c r="W18" s="76"/>
      <c r="X18" s="1"/>
      <c r="Y18" s="79" t="s">
        <v>28</v>
      </c>
      <c r="Z18" s="54"/>
      <c r="AA18" s="3"/>
      <c r="AB18" s="4"/>
      <c r="AC18" s="4"/>
      <c r="AD18" s="4"/>
      <c r="AE18" s="4"/>
      <c r="AF18" s="4"/>
      <c r="AG18" s="4"/>
      <c r="AH18" s="4"/>
      <c r="AI18" s="4"/>
      <c r="AJ18" s="5"/>
      <c r="AK18" s="1"/>
      <c r="AL18" s="146"/>
      <c r="AM18" s="69"/>
      <c r="AN18" s="69"/>
      <c r="AO18" s="69"/>
      <c r="AP18" s="69"/>
      <c r="AQ18" s="69"/>
      <c r="AR18" s="69"/>
      <c r="AS18" s="69"/>
      <c r="AT18" s="69"/>
      <c r="AU18" s="69"/>
      <c r="AV18" s="147"/>
      <c r="AW18" s="1"/>
      <c r="AX18" s="53">
        <v>25</v>
      </c>
      <c r="AY18" s="65"/>
      <c r="AZ18" s="54"/>
      <c r="BA18" s="78" t="s">
        <v>68</v>
      </c>
      <c r="BB18" s="65"/>
      <c r="BC18" s="66"/>
      <c r="BD18" s="1"/>
      <c r="BE18" s="53">
        <v>14</v>
      </c>
      <c r="BF18" s="54"/>
      <c r="BG18" s="78" t="s">
        <v>62</v>
      </c>
      <c r="BH18" s="66"/>
      <c r="BI18" s="2">
        <v>25</v>
      </c>
      <c r="BJ18" s="2" t="s">
        <v>68</v>
      </c>
      <c r="BK18" s="1"/>
      <c r="BL18" s="1"/>
    </row>
    <row r="19" spans="1:64" ht="19.5" customHeight="1" x14ac:dyDescent="0.25">
      <c r="A19" s="1"/>
      <c r="B19" s="93" t="s">
        <v>46</v>
      </c>
      <c r="C19" s="46"/>
      <c r="D19" s="97">
        <v>0</v>
      </c>
      <c r="E19" s="96"/>
      <c r="F19" s="96"/>
      <c r="G19" s="98"/>
      <c r="H19" s="1"/>
      <c r="I19" s="93" t="s">
        <v>46</v>
      </c>
      <c r="J19" s="46"/>
      <c r="K19" s="97">
        <v>0</v>
      </c>
      <c r="L19" s="96"/>
      <c r="M19" s="96"/>
      <c r="N19" s="98"/>
      <c r="O19" s="1"/>
      <c r="P19" s="211" t="s">
        <v>69</v>
      </c>
      <c r="Q19" s="174"/>
      <c r="R19" s="174"/>
      <c r="S19" s="90"/>
      <c r="T19" s="173" t="s">
        <v>70</v>
      </c>
      <c r="U19" s="174"/>
      <c r="V19" s="174"/>
      <c r="W19" s="56"/>
      <c r="X19" s="1"/>
      <c r="Y19" s="137" t="s">
        <v>34</v>
      </c>
      <c r="Z19" s="46"/>
      <c r="AA19" s="9"/>
      <c r="AB19" s="10"/>
      <c r="AC19" s="10"/>
      <c r="AD19" s="10"/>
      <c r="AE19" s="10"/>
      <c r="AF19" s="10"/>
      <c r="AG19" s="10"/>
      <c r="AH19" s="10"/>
      <c r="AI19" s="10"/>
      <c r="AJ19" s="11"/>
      <c r="AK19" s="1"/>
      <c r="AL19" s="148"/>
      <c r="AM19" s="70"/>
      <c r="AN19" s="70"/>
      <c r="AO19" s="70"/>
      <c r="AP19" s="70"/>
      <c r="AQ19" s="70"/>
      <c r="AR19" s="70"/>
      <c r="AS19" s="70"/>
      <c r="AT19" s="70"/>
      <c r="AU19" s="70"/>
      <c r="AV19" s="149"/>
      <c r="AW19" s="1"/>
      <c r="AX19" s="93">
        <v>30</v>
      </c>
      <c r="AY19" s="96"/>
      <c r="AZ19" s="46"/>
      <c r="BA19" s="97" t="s">
        <v>71</v>
      </c>
      <c r="BB19" s="96"/>
      <c r="BC19" s="98"/>
      <c r="BD19" s="1"/>
      <c r="BE19" s="93">
        <v>15</v>
      </c>
      <c r="BF19" s="46"/>
      <c r="BG19" s="97" t="s">
        <v>65</v>
      </c>
      <c r="BH19" s="98"/>
      <c r="BI19" s="2">
        <v>30</v>
      </c>
      <c r="BJ19" s="2" t="s">
        <v>71</v>
      </c>
      <c r="BK19" s="1"/>
      <c r="BL19" s="1"/>
    </row>
    <row r="20" spans="1:64" ht="19.5" customHeight="1" x14ac:dyDescent="0.25">
      <c r="A20" s="1"/>
      <c r="B20" s="172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1"/>
      <c r="BJ20" s="1"/>
      <c r="BK20" s="1"/>
      <c r="BL20" s="1"/>
    </row>
    <row r="21" spans="1:64" ht="19.5" customHeight="1" x14ac:dyDescent="0.25">
      <c r="A21" s="1"/>
      <c r="B21" s="159" t="s">
        <v>72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1"/>
      <c r="BD21" s="1"/>
      <c r="BE21" s="165" t="s">
        <v>73</v>
      </c>
      <c r="BF21" s="132"/>
      <c r="BG21" s="132"/>
      <c r="BH21" s="133"/>
      <c r="BI21" s="1"/>
      <c r="BJ21" s="1"/>
      <c r="BK21" s="1"/>
      <c r="BL21" s="1"/>
    </row>
    <row r="22" spans="1:64" ht="19.5" customHeight="1" x14ac:dyDescent="0.25">
      <c r="A22" s="1"/>
      <c r="B22" s="141" t="str">
        <f>"Strength:"&amp;X4</f>
        <v>Strength:0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3"/>
      <c r="T22" s="199" t="str">
        <f>"Charisma:"&amp;AI4</f>
        <v>Charisma:0</v>
      </c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3"/>
      <c r="AL22" s="209" t="str">
        <f>"Education:"&amp;AI7</f>
        <v>Education:0</v>
      </c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210"/>
      <c r="BD22" s="1"/>
      <c r="BE22" s="77" t="s">
        <v>74</v>
      </c>
      <c r="BF22" s="65"/>
      <c r="BG22" s="65"/>
      <c r="BH22" s="76"/>
      <c r="BI22" s="1"/>
      <c r="BJ22" s="1"/>
      <c r="BK22" s="1"/>
      <c r="BL22" s="1"/>
    </row>
    <row r="23" spans="1:64" ht="19.5" customHeight="1" x14ac:dyDescent="0.25">
      <c r="A23" s="1"/>
      <c r="B23" s="140" t="s">
        <v>75</v>
      </c>
      <c r="C23" s="48"/>
      <c r="D23" s="48"/>
      <c r="E23" s="48"/>
      <c r="F23" s="52"/>
      <c r="G23" s="59" t="s">
        <v>34</v>
      </c>
      <c r="H23" s="52"/>
      <c r="I23" s="59" t="s">
        <v>21</v>
      </c>
      <c r="J23" s="52"/>
      <c r="K23" s="59" t="s">
        <v>46</v>
      </c>
      <c r="L23" s="52"/>
      <c r="M23" s="80" t="s">
        <v>76</v>
      </c>
      <c r="N23" s="52"/>
      <c r="O23" s="80" t="s">
        <v>77</v>
      </c>
      <c r="P23" s="48"/>
      <c r="Q23" s="52"/>
      <c r="R23" s="109" t="s">
        <v>7</v>
      </c>
      <c r="S23" s="72"/>
      <c r="T23" s="185" t="s">
        <v>75</v>
      </c>
      <c r="U23" s="48"/>
      <c r="V23" s="48"/>
      <c r="W23" s="48"/>
      <c r="X23" s="52"/>
      <c r="Y23" s="59" t="s">
        <v>34</v>
      </c>
      <c r="Z23" s="52"/>
      <c r="AA23" s="59" t="s">
        <v>21</v>
      </c>
      <c r="AB23" s="52"/>
      <c r="AC23" s="59" t="s">
        <v>46</v>
      </c>
      <c r="AD23" s="52"/>
      <c r="AE23" s="80" t="s">
        <v>76</v>
      </c>
      <c r="AF23" s="52"/>
      <c r="AG23" s="182" t="s">
        <v>77</v>
      </c>
      <c r="AH23" s="48"/>
      <c r="AI23" s="48"/>
      <c r="AJ23" s="109" t="s">
        <v>7</v>
      </c>
      <c r="AK23" s="72"/>
      <c r="AL23" s="185" t="s">
        <v>75</v>
      </c>
      <c r="AM23" s="48"/>
      <c r="AN23" s="48"/>
      <c r="AO23" s="48"/>
      <c r="AP23" s="52"/>
      <c r="AQ23" s="59" t="s">
        <v>34</v>
      </c>
      <c r="AR23" s="52"/>
      <c r="AS23" s="59" t="s">
        <v>21</v>
      </c>
      <c r="AT23" s="52"/>
      <c r="AU23" s="59" t="s">
        <v>46</v>
      </c>
      <c r="AV23" s="52"/>
      <c r="AW23" s="80" t="s">
        <v>76</v>
      </c>
      <c r="AX23" s="52"/>
      <c r="AY23" s="182" t="s">
        <v>77</v>
      </c>
      <c r="AZ23" s="48"/>
      <c r="BA23" s="48"/>
      <c r="BB23" s="92" t="s">
        <v>7</v>
      </c>
      <c r="BC23" s="63"/>
      <c r="BD23" s="1"/>
      <c r="BE23" s="75" t="s">
        <v>78</v>
      </c>
      <c r="BF23" s="65"/>
      <c r="BG23" s="65"/>
      <c r="BH23" s="76"/>
      <c r="BI23" s="1"/>
      <c r="BJ23" s="1"/>
      <c r="BK23" s="1"/>
      <c r="BL23" s="1"/>
    </row>
    <row r="24" spans="1:64" ht="19.5" customHeight="1" x14ac:dyDescent="0.25">
      <c r="A24" s="1"/>
      <c r="B24" s="139" t="s">
        <v>79</v>
      </c>
      <c r="C24" s="48"/>
      <c r="D24" s="48"/>
      <c r="E24" s="48"/>
      <c r="F24" s="52"/>
      <c r="G24" s="57"/>
      <c r="H24" s="52"/>
      <c r="I24" s="57"/>
      <c r="J24" s="52"/>
      <c r="K24" s="57"/>
      <c r="L24" s="52"/>
      <c r="M24" s="61" t="str">
        <f>IF(BJ24&gt;6,"Master",VLOOKUP(BJ24,AD48:BH55,2,FALSE))</f>
        <v>Untrained</v>
      </c>
      <c r="N24" s="52"/>
      <c r="O24" s="61" t="str">
        <f>"D20"&amp;Tables!T2&amp;Tables!I1</f>
        <v>D20-4</v>
      </c>
      <c r="P24" s="48"/>
      <c r="Q24" s="52"/>
      <c r="R24" s="71"/>
      <c r="S24" s="72"/>
      <c r="T24" s="51" t="s">
        <v>80</v>
      </c>
      <c r="U24" s="48"/>
      <c r="V24" s="48"/>
      <c r="W24" s="48"/>
      <c r="X24" s="52"/>
      <c r="Y24" s="57"/>
      <c r="Z24" s="52"/>
      <c r="AA24" s="57"/>
      <c r="AB24" s="52"/>
      <c r="AC24" s="57"/>
      <c r="AD24" s="52"/>
      <c r="AE24" s="61" t="str">
        <f>IF(BK24&gt;6,"Master",VLOOKUP(BK24,AD48:BH55,2,FALSE))</f>
        <v>Untrained</v>
      </c>
      <c r="AF24" s="52"/>
      <c r="AG24" s="94" t="str">
        <f>"D20"&amp;Tables!T6&amp;Tables!J1</f>
        <v>D20-4</v>
      </c>
      <c r="AH24" s="48"/>
      <c r="AI24" s="48"/>
      <c r="AJ24" s="71"/>
      <c r="AK24" s="72"/>
      <c r="AL24" s="115" t="s">
        <v>81</v>
      </c>
      <c r="AM24" s="48"/>
      <c r="AN24" s="48"/>
      <c r="AO24" s="48"/>
      <c r="AP24" s="52"/>
      <c r="AQ24" s="57"/>
      <c r="AR24" s="52"/>
      <c r="AS24" s="57"/>
      <c r="AT24" s="52"/>
      <c r="AU24" s="57"/>
      <c r="AV24" s="52"/>
      <c r="AW24" s="61" t="str">
        <f>IF(BL24&gt;6,"Master",VLOOKUP(BL24,AD48:BH55,2,FALSE))</f>
        <v>Untrained</v>
      </c>
      <c r="AX24" s="52"/>
      <c r="AY24" s="94" t="str">
        <f>"D20"&amp;Tables!T9&amp;Tables!K1</f>
        <v>D20-4</v>
      </c>
      <c r="AZ24" s="48"/>
      <c r="BA24" s="48"/>
      <c r="BB24" s="62"/>
      <c r="BC24" s="63"/>
      <c r="BD24" s="1"/>
      <c r="BE24" s="77" t="s">
        <v>82</v>
      </c>
      <c r="BF24" s="65"/>
      <c r="BG24" s="65"/>
      <c r="BH24" s="76"/>
      <c r="BI24" s="1"/>
      <c r="BJ24" s="2">
        <f t="shared" ref="BJ24:BJ31" si="0">G24+I24+K24</f>
        <v>0</v>
      </c>
      <c r="BK24" s="2">
        <f t="shared" ref="BK24:BK31" si="1">Y24+AA24+AC24</f>
        <v>0</v>
      </c>
      <c r="BL24" s="2">
        <f t="shared" ref="BL24:BL45" si="2">AQ24+AS24+AU24</f>
        <v>0</v>
      </c>
    </row>
    <row r="25" spans="1:64" ht="19.5" customHeight="1" x14ac:dyDescent="0.25">
      <c r="A25" s="1"/>
      <c r="B25" s="150" t="s">
        <v>83</v>
      </c>
      <c r="C25" s="48"/>
      <c r="D25" s="48"/>
      <c r="E25" s="48"/>
      <c r="F25" s="52"/>
      <c r="G25" s="105"/>
      <c r="H25" s="52"/>
      <c r="I25" s="105"/>
      <c r="J25" s="52"/>
      <c r="K25" s="105"/>
      <c r="L25" s="52"/>
      <c r="M25" s="60" t="str">
        <f>IF(BJ25&gt;6,"Master",VLOOKUP(BJ25,AD48:BH55,2,FALSE))</f>
        <v>Untrained</v>
      </c>
      <c r="N25" s="52"/>
      <c r="O25" s="60" t="str">
        <f>"D20"&amp;Tables!T2&amp;Tables!I2</f>
        <v>D20-4</v>
      </c>
      <c r="P25" s="48"/>
      <c r="Q25" s="52"/>
      <c r="R25" s="102"/>
      <c r="S25" s="72"/>
      <c r="T25" s="125" t="s">
        <v>84</v>
      </c>
      <c r="U25" s="48"/>
      <c r="V25" s="48"/>
      <c r="W25" s="48"/>
      <c r="X25" s="52"/>
      <c r="Y25" s="105"/>
      <c r="Z25" s="52"/>
      <c r="AA25" s="105"/>
      <c r="AB25" s="52"/>
      <c r="AC25" s="105"/>
      <c r="AD25" s="52"/>
      <c r="AE25" s="60" t="str">
        <f>IF(BK25&gt;6,"Master",VLOOKUP(BK25,AD48:BH55,2,FALSE))</f>
        <v>Untrained</v>
      </c>
      <c r="AF25" s="52"/>
      <c r="AG25" s="106" t="str">
        <f>"D20"&amp;Tables!T6&amp;Tables!J2</f>
        <v>D20-4</v>
      </c>
      <c r="AH25" s="48"/>
      <c r="AI25" s="48"/>
      <c r="AJ25" s="102"/>
      <c r="AK25" s="72"/>
      <c r="AL25" s="99" t="s">
        <v>85</v>
      </c>
      <c r="AM25" s="48"/>
      <c r="AN25" s="48"/>
      <c r="AO25" s="48"/>
      <c r="AP25" s="52"/>
      <c r="AQ25" s="105"/>
      <c r="AR25" s="52"/>
      <c r="AS25" s="105"/>
      <c r="AT25" s="52"/>
      <c r="AU25" s="105"/>
      <c r="AV25" s="52"/>
      <c r="AW25" s="60" t="str">
        <f>IF(BL25&gt;6,"Master",VLOOKUP(BL25,AD48:BH55,2,FALSE))</f>
        <v>Untrained</v>
      </c>
      <c r="AX25" s="52"/>
      <c r="AY25" s="106" t="str">
        <f>"D20"&amp;Tables!T9&amp;Tables!K2</f>
        <v>D20-4</v>
      </c>
      <c r="AZ25" s="48"/>
      <c r="BA25" s="48"/>
      <c r="BB25" s="91"/>
      <c r="BC25" s="63"/>
      <c r="BD25" s="1"/>
      <c r="BE25" s="75" t="s">
        <v>86</v>
      </c>
      <c r="BF25" s="65"/>
      <c r="BG25" s="65"/>
      <c r="BH25" s="76"/>
      <c r="BI25" s="1"/>
      <c r="BJ25" s="2">
        <f t="shared" si="0"/>
        <v>0</v>
      </c>
      <c r="BK25" s="2">
        <f t="shared" si="1"/>
        <v>0</v>
      </c>
      <c r="BL25" s="2">
        <f t="shared" si="2"/>
        <v>0</v>
      </c>
    </row>
    <row r="26" spans="1:64" ht="19.5" customHeight="1" x14ac:dyDescent="0.25">
      <c r="A26" s="1"/>
      <c r="B26" s="138" t="s">
        <v>87</v>
      </c>
      <c r="C26" s="65"/>
      <c r="D26" s="65"/>
      <c r="E26" s="162" t="s">
        <v>88</v>
      </c>
      <c r="F26" s="54"/>
      <c r="G26" s="57"/>
      <c r="H26" s="52"/>
      <c r="I26" s="57"/>
      <c r="J26" s="52"/>
      <c r="K26" s="57"/>
      <c r="L26" s="52"/>
      <c r="M26" s="61" t="str">
        <f>IF(BJ26&gt;6,"Master",VLOOKUP(BJ26,AD48:BH55,2,FALSE))</f>
        <v>Untrained</v>
      </c>
      <c r="N26" s="52"/>
      <c r="O26" s="61" t="str">
        <f>"D20"&amp;Tables!T2&amp;Tables!I3</f>
        <v>D20-4</v>
      </c>
      <c r="P26" s="48"/>
      <c r="Q26" s="52"/>
      <c r="R26" s="71"/>
      <c r="S26" s="72"/>
      <c r="T26" s="51" t="s">
        <v>89</v>
      </c>
      <c r="U26" s="48"/>
      <c r="V26" s="48"/>
      <c r="W26" s="48"/>
      <c r="X26" s="52"/>
      <c r="Y26" s="57"/>
      <c r="Z26" s="52"/>
      <c r="AA26" s="57"/>
      <c r="AB26" s="52"/>
      <c r="AC26" s="57"/>
      <c r="AD26" s="52"/>
      <c r="AE26" s="61" t="str">
        <f>IF(BK26&gt;6,"Master",VLOOKUP(BK26,AD48:BH55,2,FALSE))</f>
        <v>Untrained</v>
      </c>
      <c r="AF26" s="52"/>
      <c r="AG26" s="94" t="str">
        <f>"D20"&amp;Tables!T6&amp;Tables!J3</f>
        <v>D20-4</v>
      </c>
      <c r="AH26" s="48"/>
      <c r="AI26" s="48"/>
      <c r="AJ26" s="71"/>
      <c r="AK26" s="72"/>
      <c r="AL26" s="115" t="s">
        <v>90</v>
      </c>
      <c r="AM26" s="48"/>
      <c r="AN26" s="48"/>
      <c r="AO26" s="48"/>
      <c r="AP26" s="52"/>
      <c r="AQ26" s="57"/>
      <c r="AR26" s="52"/>
      <c r="AS26" s="57"/>
      <c r="AT26" s="52"/>
      <c r="AU26" s="57"/>
      <c r="AV26" s="52"/>
      <c r="AW26" s="61" t="str">
        <f>IF(BL26&gt;6,"Master",VLOOKUP(BL26,AD48:BH55,2,FALSE))</f>
        <v>Untrained</v>
      </c>
      <c r="AX26" s="52"/>
      <c r="AY26" s="94" t="str">
        <f>"D20"&amp;Tables!T9&amp;Tables!K3</f>
        <v>D20-4</v>
      </c>
      <c r="AZ26" s="48"/>
      <c r="BA26" s="48"/>
      <c r="BB26" s="62"/>
      <c r="BC26" s="63"/>
      <c r="BD26" s="1"/>
      <c r="BE26" s="77" t="s">
        <v>91</v>
      </c>
      <c r="BF26" s="65"/>
      <c r="BG26" s="65"/>
      <c r="BH26" s="76"/>
      <c r="BI26" s="1"/>
      <c r="BJ26" s="2">
        <f t="shared" si="0"/>
        <v>0</v>
      </c>
      <c r="BK26" s="2">
        <f t="shared" si="1"/>
        <v>0</v>
      </c>
      <c r="BL26" s="2">
        <f t="shared" si="2"/>
        <v>0</v>
      </c>
    </row>
    <row r="27" spans="1:64" ht="19.5" customHeight="1" x14ac:dyDescent="0.25">
      <c r="A27" s="1"/>
      <c r="B27" s="136" t="s">
        <v>87</v>
      </c>
      <c r="C27" s="65"/>
      <c r="D27" s="65"/>
      <c r="E27" s="144"/>
      <c r="F27" s="54"/>
      <c r="G27" s="105"/>
      <c r="H27" s="52"/>
      <c r="I27" s="105"/>
      <c r="J27" s="52"/>
      <c r="K27" s="105"/>
      <c r="L27" s="52"/>
      <c r="M27" s="60" t="str">
        <f>IF(BJ27&gt;6,"Master",VLOOKUP(BJ27,AD48:BH55,2,FALSE))</f>
        <v>Untrained</v>
      </c>
      <c r="N27" s="52"/>
      <c r="O27" s="60" t="str">
        <f>"D20"&amp;Tables!T2&amp;Tables!I4</f>
        <v>D20-4</v>
      </c>
      <c r="P27" s="48"/>
      <c r="Q27" s="52"/>
      <c r="R27" s="102"/>
      <c r="S27" s="72"/>
      <c r="T27" s="125" t="s">
        <v>92</v>
      </c>
      <c r="U27" s="48"/>
      <c r="V27" s="48"/>
      <c r="W27" s="48"/>
      <c r="X27" s="52"/>
      <c r="Y27" s="105"/>
      <c r="Z27" s="52"/>
      <c r="AA27" s="105"/>
      <c r="AB27" s="52"/>
      <c r="AC27" s="105"/>
      <c r="AD27" s="52"/>
      <c r="AE27" s="60" t="str">
        <f>IF(BK27&gt;6,"Master",VLOOKUP(BK27,AD48:BH55,2,FALSE))</f>
        <v>Untrained</v>
      </c>
      <c r="AF27" s="52"/>
      <c r="AG27" s="106" t="str">
        <f>"D20"&amp;Tables!T6&amp;Tables!J4</f>
        <v>D20-4</v>
      </c>
      <c r="AH27" s="48"/>
      <c r="AI27" s="48"/>
      <c r="AJ27" s="102"/>
      <c r="AK27" s="72"/>
      <c r="AL27" s="99" t="s">
        <v>93</v>
      </c>
      <c r="AM27" s="48"/>
      <c r="AN27" s="48"/>
      <c r="AO27" s="48"/>
      <c r="AP27" s="52"/>
      <c r="AQ27" s="105"/>
      <c r="AR27" s="52"/>
      <c r="AS27" s="105"/>
      <c r="AT27" s="52"/>
      <c r="AU27" s="105"/>
      <c r="AV27" s="52"/>
      <c r="AW27" s="60" t="str">
        <f>IF(BL27&gt;6,"Master",VLOOKUP(BL27,AD48:BH55,2,FALSE))</f>
        <v>Untrained</v>
      </c>
      <c r="AX27" s="52"/>
      <c r="AY27" s="106" t="str">
        <f>"D20"&amp;Tables!T9&amp;Tables!K4</f>
        <v>D20-4</v>
      </c>
      <c r="AZ27" s="48"/>
      <c r="BA27" s="48"/>
      <c r="BB27" s="91"/>
      <c r="BC27" s="63"/>
      <c r="BD27" s="1"/>
      <c r="BE27" s="75" t="s">
        <v>94</v>
      </c>
      <c r="BF27" s="65"/>
      <c r="BG27" s="65"/>
      <c r="BH27" s="76"/>
      <c r="BI27" s="1"/>
      <c r="BJ27" s="2">
        <f t="shared" si="0"/>
        <v>0</v>
      </c>
      <c r="BK27" s="2">
        <f t="shared" si="1"/>
        <v>0</v>
      </c>
      <c r="BL27" s="2">
        <f t="shared" si="2"/>
        <v>0</v>
      </c>
    </row>
    <row r="28" spans="1:64" ht="19.5" customHeight="1" x14ac:dyDescent="0.25">
      <c r="A28" s="1"/>
      <c r="B28" s="222" t="s">
        <v>87</v>
      </c>
      <c r="C28" s="48"/>
      <c r="D28" s="48"/>
      <c r="E28" s="154"/>
      <c r="F28" s="52"/>
      <c r="G28" s="57"/>
      <c r="H28" s="52"/>
      <c r="I28" s="57"/>
      <c r="J28" s="52"/>
      <c r="K28" s="57"/>
      <c r="L28" s="52"/>
      <c r="M28" s="61" t="str">
        <f>IF(BJ28&gt;6,"Master",VLOOKUP(BJ28,AD47:AN55,2,FALSE))</f>
        <v>Untrained</v>
      </c>
      <c r="N28" s="52"/>
      <c r="O28" s="61" t="str">
        <f>"D20"&amp;Tables!T2&amp;Tables!I5</f>
        <v>D20-4</v>
      </c>
      <c r="P28" s="48"/>
      <c r="Q28" s="52"/>
      <c r="R28" s="71"/>
      <c r="S28" s="72"/>
      <c r="T28" s="51" t="s">
        <v>95</v>
      </c>
      <c r="U28" s="48"/>
      <c r="V28" s="48"/>
      <c r="W28" s="48"/>
      <c r="X28" s="52"/>
      <c r="Y28" s="57"/>
      <c r="Z28" s="52"/>
      <c r="AA28" s="57"/>
      <c r="AB28" s="52"/>
      <c r="AC28" s="57"/>
      <c r="AD28" s="52"/>
      <c r="AE28" s="61" t="str">
        <f>IF(BK28&gt;6,"Master",VLOOKUP(BK28,AD48:BH55,2,FALSE))</f>
        <v>Untrained</v>
      </c>
      <c r="AF28" s="52"/>
      <c r="AG28" s="94" t="str">
        <f>"D20"&amp;Tables!T6&amp;Tables!J5</f>
        <v>D20-4</v>
      </c>
      <c r="AH28" s="48"/>
      <c r="AI28" s="48"/>
      <c r="AJ28" s="71"/>
      <c r="AK28" s="72"/>
      <c r="AL28" s="115" t="s">
        <v>96</v>
      </c>
      <c r="AM28" s="48"/>
      <c r="AN28" s="48"/>
      <c r="AO28" s="48"/>
      <c r="AP28" s="52"/>
      <c r="AQ28" s="57"/>
      <c r="AR28" s="52"/>
      <c r="AS28" s="57"/>
      <c r="AT28" s="52"/>
      <c r="AU28" s="57"/>
      <c r="AV28" s="52"/>
      <c r="AW28" s="61" t="str">
        <f>IF(BL28&gt;6,"Master",VLOOKUP(BL28,AD48:BH55,2,FALSE))</f>
        <v>Untrained</v>
      </c>
      <c r="AX28" s="52"/>
      <c r="AY28" s="94" t="str">
        <f>"D20"&amp;Tables!T9&amp;Tables!K5</f>
        <v>D20-4</v>
      </c>
      <c r="AZ28" s="48"/>
      <c r="BA28" s="48"/>
      <c r="BB28" s="62"/>
      <c r="BC28" s="63"/>
      <c r="BD28" s="1"/>
      <c r="BE28" s="77" t="s">
        <v>97</v>
      </c>
      <c r="BF28" s="65"/>
      <c r="BG28" s="65"/>
      <c r="BH28" s="76"/>
      <c r="BI28" s="1"/>
      <c r="BJ28" s="2">
        <f t="shared" si="0"/>
        <v>0</v>
      </c>
      <c r="BK28" s="2">
        <f t="shared" si="1"/>
        <v>0</v>
      </c>
      <c r="BL28" s="2">
        <f t="shared" si="2"/>
        <v>0</v>
      </c>
    </row>
    <row r="29" spans="1:64" ht="19.5" customHeight="1" x14ac:dyDescent="0.25">
      <c r="A29" s="1"/>
      <c r="B29" s="150" t="s">
        <v>98</v>
      </c>
      <c r="C29" s="48"/>
      <c r="D29" s="48"/>
      <c r="E29" s="48"/>
      <c r="F29" s="52"/>
      <c r="G29" s="105"/>
      <c r="H29" s="52"/>
      <c r="I29" s="105"/>
      <c r="J29" s="52"/>
      <c r="K29" s="105"/>
      <c r="L29" s="52"/>
      <c r="M29" s="60" t="str">
        <f>IF(BJ29&gt;6,"Master",VLOOKUP(BJ29,AD48:AE55,2,FALSE))</f>
        <v>Untrained</v>
      </c>
      <c r="N29" s="52"/>
      <c r="O29" s="60" t="str">
        <f>"D20"&amp;Tables!T2&amp;Tables!I6</f>
        <v>D20-4</v>
      </c>
      <c r="P29" s="48"/>
      <c r="Q29" s="52"/>
      <c r="R29" s="102"/>
      <c r="S29" s="72"/>
      <c r="T29" s="125" t="s">
        <v>99</v>
      </c>
      <c r="U29" s="48"/>
      <c r="V29" s="48"/>
      <c r="W29" s="48"/>
      <c r="X29" s="52"/>
      <c r="Y29" s="105"/>
      <c r="Z29" s="52"/>
      <c r="AA29" s="105"/>
      <c r="AB29" s="52"/>
      <c r="AC29" s="105"/>
      <c r="AD29" s="52"/>
      <c r="AE29" s="60" t="str">
        <f>IF(BK29&gt;6,"Master",VLOOKUP(BK29,AD48:BH55,2,FALSE))</f>
        <v>Untrained</v>
      </c>
      <c r="AF29" s="52"/>
      <c r="AG29" s="106" t="str">
        <f>"D20"&amp;Tables!T6&amp;Tables!J6</f>
        <v>D20-4</v>
      </c>
      <c r="AH29" s="48"/>
      <c r="AI29" s="48"/>
      <c r="AJ29" s="102"/>
      <c r="AK29" s="72"/>
      <c r="AL29" s="99" t="s">
        <v>100</v>
      </c>
      <c r="AM29" s="48"/>
      <c r="AN29" s="48"/>
      <c r="AO29" s="48"/>
      <c r="AP29" s="52"/>
      <c r="AQ29" s="105"/>
      <c r="AR29" s="52"/>
      <c r="AS29" s="105"/>
      <c r="AT29" s="52"/>
      <c r="AU29" s="105"/>
      <c r="AV29" s="52"/>
      <c r="AW29" s="60" t="str">
        <f>IF(BL29&gt;6,"Master",VLOOKUP(BL29,AD48:BH55,2,FALSE))</f>
        <v>Untrained</v>
      </c>
      <c r="AX29" s="52"/>
      <c r="AY29" s="106" t="str">
        <f>"D20"&amp;Tables!T9&amp;Tables!K6</f>
        <v>D20-4</v>
      </c>
      <c r="AZ29" s="48"/>
      <c r="BA29" s="48"/>
      <c r="BB29" s="91"/>
      <c r="BC29" s="63"/>
      <c r="BD29" s="1"/>
      <c r="BE29" s="75" t="s">
        <v>101</v>
      </c>
      <c r="BF29" s="65"/>
      <c r="BG29" s="65"/>
      <c r="BH29" s="76"/>
      <c r="BI29" s="1"/>
      <c r="BJ29" s="2">
        <f t="shared" si="0"/>
        <v>0</v>
      </c>
      <c r="BK29" s="2">
        <f t="shared" si="1"/>
        <v>0</v>
      </c>
      <c r="BL29" s="2">
        <f t="shared" si="2"/>
        <v>0</v>
      </c>
    </row>
    <row r="30" spans="1:64" ht="19.5" customHeight="1" x14ac:dyDescent="0.25">
      <c r="A30" s="1"/>
      <c r="B30" s="139" t="s">
        <v>102</v>
      </c>
      <c r="C30" s="48"/>
      <c r="D30" s="48"/>
      <c r="E30" s="48"/>
      <c r="F30" s="52"/>
      <c r="G30" s="57"/>
      <c r="H30" s="52"/>
      <c r="I30" s="57"/>
      <c r="J30" s="52"/>
      <c r="K30" s="57"/>
      <c r="L30" s="52"/>
      <c r="M30" s="61" t="str">
        <f>IF(BJ30&gt;6,"Master",VLOOKUP(BJ30,AD48:BH55,2,FALSE))</f>
        <v>Untrained</v>
      </c>
      <c r="N30" s="52"/>
      <c r="O30" s="61" t="str">
        <f>"D20"&amp;Tables!T2&amp;Tables!I7</f>
        <v>D20-4</v>
      </c>
      <c r="P30" s="48"/>
      <c r="Q30" s="52"/>
      <c r="R30" s="71"/>
      <c r="S30" s="72"/>
      <c r="T30" s="51" t="s">
        <v>103</v>
      </c>
      <c r="U30" s="48"/>
      <c r="V30" s="48"/>
      <c r="W30" s="48"/>
      <c r="X30" s="52"/>
      <c r="Y30" s="57"/>
      <c r="Z30" s="52"/>
      <c r="AA30" s="57"/>
      <c r="AB30" s="52"/>
      <c r="AC30" s="57"/>
      <c r="AD30" s="52"/>
      <c r="AE30" s="61" t="str">
        <f>IF(BK30&gt;6,"Master",VLOOKUP(BK30,AD48:BH55,2,FALSE))</f>
        <v>Untrained</v>
      </c>
      <c r="AF30" s="52"/>
      <c r="AG30" s="94" t="str">
        <f>"D20"&amp;Tables!T6&amp;Tables!J7</f>
        <v>D20-4</v>
      </c>
      <c r="AH30" s="48"/>
      <c r="AI30" s="48"/>
      <c r="AJ30" s="71"/>
      <c r="AK30" s="72"/>
      <c r="AL30" s="115" t="s">
        <v>104</v>
      </c>
      <c r="AM30" s="48"/>
      <c r="AN30" s="48"/>
      <c r="AO30" s="48"/>
      <c r="AP30" s="52"/>
      <c r="AQ30" s="57"/>
      <c r="AR30" s="52"/>
      <c r="AS30" s="57"/>
      <c r="AT30" s="52"/>
      <c r="AU30" s="57"/>
      <c r="AV30" s="52"/>
      <c r="AW30" s="61" t="str">
        <f>IF(BL30&gt;6,"Master",VLOOKUP(BL30,AD48:BH55,2,FALSE))</f>
        <v>Untrained</v>
      </c>
      <c r="AX30" s="52"/>
      <c r="AY30" s="94" t="str">
        <f>"D20"&amp;Tables!T9&amp;Tables!K7</f>
        <v>D20-4</v>
      </c>
      <c r="AZ30" s="48"/>
      <c r="BA30" s="48"/>
      <c r="BB30" s="62"/>
      <c r="BC30" s="63"/>
      <c r="BD30" s="1"/>
      <c r="BE30" s="77" t="s">
        <v>105</v>
      </c>
      <c r="BF30" s="65"/>
      <c r="BG30" s="65"/>
      <c r="BH30" s="76"/>
      <c r="BI30" s="1"/>
      <c r="BJ30" s="2">
        <f t="shared" si="0"/>
        <v>0</v>
      </c>
      <c r="BK30" s="2">
        <f t="shared" si="1"/>
        <v>0</v>
      </c>
      <c r="BL30" s="2">
        <f t="shared" si="2"/>
        <v>0</v>
      </c>
    </row>
    <row r="31" spans="1:64" ht="19.5" customHeight="1" x14ac:dyDescent="0.25">
      <c r="A31" s="1"/>
      <c r="B31" s="166" t="s">
        <v>106</v>
      </c>
      <c r="C31" s="167"/>
      <c r="D31" s="167"/>
      <c r="E31" s="167"/>
      <c r="F31" s="101"/>
      <c r="G31" s="123"/>
      <c r="H31" s="101"/>
      <c r="I31" s="123"/>
      <c r="J31" s="101"/>
      <c r="K31" s="123"/>
      <c r="L31" s="101"/>
      <c r="M31" s="100" t="str">
        <f>IF(BJ31&gt;6,"Master",VLOOKUP(BJ31,AD48:BH55,2,FALSE))</f>
        <v>Untrained</v>
      </c>
      <c r="N31" s="101"/>
      <c r="O31" s="100" t="str">
        <f>"D20"&amp;Tables!T2&amp;Tables!I8</f>
        <v>D20-4</v>
      </c>
      <c r="P31" s="167"/>
      <c r="Q31" s="101"/>
      <c r="R31" s="194"/>
      <c r="S31" s="193"/>
      <c r="T31" s="214" t="s">
        <v>107</v>
      </c>
      <c r="U31" s="167"/>
      <c r="V31" s="167"/>
      <c r="W31" s="167"/>
      <c r="X31" s="101"/>
      <c r="Y31" s="123"/>
      <c r="Z31" s="101"/>
      <c r="AA31" s="123"/>
      <c r="AB31" s="101"/>
      <c r="AC31" s="123"/>
      <c r="AD31" s="101"/>
      <c r="AE31" s="100" t="str">
        <f>IF(BK31&gt;6,"Master",VLOOKUP(BK31,AD48:BH55,2,FALSE))</f>
        <v>Untrained</v>
      </c>
      <c r="AF31" s="101"/>
      <c r="AG31" s="231" t="str">
        <f>"D20"&amp;Tables!T6&amp;Tables!J8</f>
        <v>D20-4</v>
      </c>
      <c r="AH31" s="167"/>
      <c r="AI31" s="167"/>
      <c r="AJ31" s="194"/>
      <c r="AK31" s="193"/>
      <c r="AL31" s="99" t="s">
        <v>108</v>
      </c>
      <c r="AM31" s="48"/>
      <c r="AN31" s="48"/>
      <c r="AO31" s="48"/>
      <c r="AP31" s="52"/>
      <c r="AQ31" s="105"/>
      <c r="AR31" s="52"/>
      <c r="AS31" s="105"/>
      <c r="AT31" s="52"/>
      <c r="AU31" s="105"/>
      <c r="AV31" s="52"/>
      <c r="AW31" s="60" t="str">
        <f>IF(BL31&gt;6,"Master",VLOOKUP(BL31,AD48:BH55,2,FALSE))</f>
        <v>Untrained</v>
      </c>
      <c r="AX31" s="52"/>
      <c r="AY31" s="106" t="str">
        <f>"D20"&amp;Tables!T9&amp;Tables!K8</f>
        <v>D20-4</v>
      </c>
      <c r="AZ31" s="48"/>
      <c r="BA31" s="48"/>
      <c r="BB31" s="91"/>
      <c r="BC31" s="63"/>
      <c r="BD31" s="1"/>
      <c r="BE31" s="75" t="s">
        <v>109</v>
      </c>
      <c r="BF31" s="65"/>
      <c r="BG31" s="65"/>
      <c r="BH31" s="76"/>
      <c r="BI31" s="1"/>
      <c r="BJ31" s="2">
        <f t="shared" si="0"/>
        <v>0</v>
      </c>
      <c r="BK31" s="2">
        <f t="shared" si="1"/>
        <v>0</v>
      </c>
      <c r="BL31" s="2">
        <f t="shared" si="2"/>
        <v>0</v>
      </c>
    </row>
    <row r="32" spans="1:64" ht="19.5" customHeight="1" x14ac:dyDescent="0.25">
      <c r="A32" s="1"/>
      <c r="B32" s="141" t="str">
        <f>"Agility:"&amp;X5</f>
        <v>Agility:0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99" t="str">
        <f>"Intuition:"&amp;AI5</f>
        <v>Intuition:0</v>
      </c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3"/>
      <c r="AL32" s="104" t="s">
        <v>110</v>
      </c>
      <c r="AM32" s="65"/>
      <c r="AN32" s="65"/>
      <c r="AO32" s="103"/>
      <c r="AP32" s="54"/>
      <c r="AQ32" s="57"/>
      <c r="AR32" s="52"/>
      <c r="AS32" s="57"/>
      <c r="AT32" s="52"/>
      <c r="AU32" s="57"/>
      <c r="AV32" s="52"/>
      <c r="AW32" s="61" t="str">
        <f>IF(BL32&gt;6,"Master",VLOOKUP(BL32,AD48:BH55,2,FALSE))</f>
        <v>Untrained</v>
      </c>
      <c r="AX32" s="52"/>
      <c r="AY32" s="94" t="str">
        <f>"D20"&amp;Tables!T9&amp;Tables!K9</f>
        <v>D20-4</v>
      </c>
      <c r="AZ32" s="48"/>
      <c r="BA32" s="48"/>
      <c r="BB32" s="62"/>
      <c r="BC32" s="63"/>
      <c r="BD32" s="1"/>
      <c r="BE32" s="77" t="s">
        <v>111</v>
      </c>
      <c r="BF32" s="65"/>
      <c r="BG32" s="65"/>
      <c r="BH32" s="76"/>
      <c r="BI32" s="1"/>
      <c r="BJ32" s="2"/>
      <c r="BK32" s="2"/>
      <c r="BL32" s="2">
        <f t="shared" si="2"/>
        <v>0</v>
      </c>
    </row>
    <row r="33" spans="1:64" ht="19.5" customHeight="1" x14ac:dyDescent="0.25">
      <c r="A33" s="1"/>
      <c r="B33" s="140" t="s">
        <v>75</v>
      </c>
      <c r="C33" s="48"/>
      <c r="D33" s="48"/>
      <c r="E33" s="48"/>
      <c r="F33" s="52"/>
      <c r="G33" s="59" t="s">
        <v>34</v>
      </c>
      <c r="H33" s="52"/>
      <c r="I33" s="59" t="s">
        <v>21</v>
      </c>
      <c r="J33" s="52"/>
      <c r="K33" s="59" t="s">
        <v>46</v>
      </c>
      <c r="L33" s="52"/>
      <c r="M33" s="80" t="s">
        <v>76</v>
      </c>
      <c r="N33" s="52"/>
      <c r="O33" s="80" t="s">
        <v>77</v>
      </c>
      <c r="P33" s="48"/>
      <c r="Q33" s="52"/>
      <c r="R33" s="109" t="s">
        <v>7</v>
      </c>
      <c r="S33" s="72"/>
      <c r="T33" s="185" t="s">
        <v>75</v>
      </c>
      <c r="U33" s="48"/>
      <c r="V33" s="48"/>
      <c r="W33" s="48"/>
      <c r="X33" s="52"/>
      <c r="Y33" s="59" t="s">
        <v>34</v>
      </c>
      <c r="Z33" s="52"/>
      <c r="AA33" s="59" t="s">
        <v>21</v>
      </c>
      <c r="AB33" s="52"/>
      <c r="AC33" s="59" t="s">
        <v>46</v>
      </c>
      <c r="AD33" s="52"/>
      <c r="AE33" s="80" t="s">
        <v>76</v>
      </c>
      <c r="AF33" s="52"/>
      <c r="AG33" s="182" t="s">
        <v>77</v>
      </c>
      <c r="AH33" s="48"/>
      <c r="AI33" s="48"/>
      <c r="AJ33" s="109" t="s">
        <v>7</v>
      </c>
      <c r="AK33" s="72"/>
      <c r="AL33" s="107" t="s">
        <v>110</v>
      </c>
      <c r="AM33" s="65"/>
      <c r="AN33" s="65"/>
      <c r="AO33" s="186"/>
      <c r="AP33" s="54"/>
      <c r="AQ33" s="105"/>
      <c r="AR33" s="52"/>
      <c r="AS33" s="105"/>
      <c r="AT33" s="52"/>
      <c r="AU33" s="105"/>
      <c r="AV33" s="52"/>
      <c r="AW33" s="60" t="str">
        <f>IF(BL33&gt;6,"Master",VLOOKUP(BL33,AD48:BH55,2,FALSE))</f>
        <v>Untrained</v>
      </c>
      <c r="AX33" s="52"/>
      <c r="AY33" s="106" t="str">
        <f>"D20"&amp;Tables!T9&amp;Tables!K10</f>
        <v>D20-4</v>
      </c>
      <c r="AZ33" s="48"/>
      <c r="BA33" s="48"/>
      <c r="BB33" s="91"/>
      <c r="BC33" s="63"/>
      <c r="BD33" s="1"/>
      <c r="BE33" s="75" t="s">
        <v>112</v>
      </c>
      <c r="BF33" s="65"/>
      <c r="BG33" s="65"/>
      <c r="BH33" s="76"/>
      <c r="BI33" s="1"/>
      <c r="BJ33" s="2"/>
      <c r="BK33" s="2"/>
      <c r="BL33" s="2">
        <f t="shared" si="2"/>
        <v>0</v>
      </c>
    </row>
    <row r="34" spans="1:64" ht="19.5" customHeight="1" x14ac:dyDescent="0.25">
      <c r="A34" s="1"/>
      <c r="B34" s="139" t="s">
        <v>113</v>
      </c>
      <c r="C34" s="48"/>
      <c r="D34" s="48"/>
      <c r="E34" s="48"/>
      <c r="F34" s="52"/>
      <c r="G34" s="57"/>
      <c r="H34" s="52"/>
      <c r="I34" s="57"/>
      <c r="J34" s="52"/>
      <c r="K34" s="57"/>
      <c r="L34" s="52"/>
      <c r="M34" s="61" t="str">
        <f>IF(BJ34&gt;6,"Master",VLOOKUP(BJ34,AD48:BH55,2,FALSE))</f>
        <v>Untrained</v>
      </c>
      <c r="N34" s="52"/>
      <c r="O34" s="61" t="str">
        <f>"D20"&amp;Tables!T3&amp;Tables!I11</f>
        <v>D20-4</v>
      </c>
      <c r="P34" s="48"/>
      <c r="Q34" s="52"/>
      <c r="R34" s="71"/>
      <c r="S34" s="72"/>
      <c r="T34" s="51" t="s">
        <v>114</v>
      </c>
      <c r="U34" s="48"/>
      <c r="V34" s="48"/>
      <c r="W34" s="48"/>
      <c r="X34" s="52"/>
      <c r="Y34" s="57"/>
      <c r="Z34" s="52"/>
      <c r="AA34" s="57"/>
      <c r="AB34" s="52"/>
      <c r="AC34" s="57"/>
      <c r="AD34" s="52"/>
      <c r="AE34" s="61" t="str">
        <f>IF(BK34&gt;6,"Master",VLOOKUP(BK34,AD48:BH55,2,FALSE))</f>
        <v>Untrained</v>
      </c>
      <c r="AF34" s="52"/>
      <c r="AG34" s="94" t="str">
        <f>"D20"&amp;Tables!T7&amp;Tables!J11</f>
        <v>D20-4</v>
      </c>
      <c r="AH34" s="48"/>
      <c r="AI34" s="48"/>
      <c r="AJ34" s="71"/>
      <c r="AK34" s="72"/>
      <c r="AL34" s="104" t="s">
        <v>110</v>
      </c>
      <c r="AM34" s="65"/>
      <c r="AN34" s="65"/>
      <c r="AO34" s="103"/>
      <c r="AP34" s="54"/>
      <c r="AQ34" s="57"/>
      <c r="AR34" s="52"/>
      <c r="AS34" s="57"/>
      <c r="AT34" s="52"/>
      <c r="AU34" s="57"/>
      <c r="AV34" s="52"/>
      <c r="AW34" s="61" t="str">
        <f>IF(BL34&gt;6,"Master",VLOOKUP(BL34,AD48:BH55,2,FALSE))</f>
        <v>Untrained</v>
      </c>
      <c r="AX34" s="52"/>
      <c r="AY34" s="94" t="str">
        <f>"D20"&amp;Tables!T9&amp;Tables!K11</f>
        <v>D20-4</v>
      </c>
      <c r="AZ34" s="48"/>
      <c r="BA34" s="48"/>
      <c r="BB34" s="62"/>
      <c r="BC34" s="63"/>
      <c r="BD34" s="1"/>
      <c r="BE34" s="77"/>
      <c r="BF34" s="65"/>
      <c r="BG34" s="65"/>
      <c r="BH34" s="76"/>
      <c r="BI34" s="1"/>
      <c r="BJ34" s="2">
        <f t="shared" ref="BJ34:BJ43" si="3">G34+I34+K34</f>
        <v>0</v>
      </c>
      <c r="BK34" s="2">
        <f t="shared" ref="BK34:BK44" si="4">Y34+AA34+AC34</f>
        <v>0</v>
      </c>
      <c r="BL34" s="2">
        <f t="shared" si="2"/>
        <v>0</v>
      </c>
    </row>
    <row r="35" spans="1:64" ht="19.5" customHeight="1" x14ac:dyDescent="0.25">
      <c r="A35" s="1"/>
      <c r="B35" s="150" t="s">
        <v>115</v>
      </c>
      <c r="C35" s="48"/>
      <c r="D35" s="48"/>
      <c r="E35" s="48"/>
      <c r="F35" s="52"/>
      <c r="G35" s="105"/>
      <c r="H35" s="52"/>
      <c r="I35" s="105"/>
      <c r="J35" s="52"/>
      <c r="K35" s="105"/>
      <c r="L35" s="52"/>
      <c r="M35" s="60" t="str">
        <f>IF(BJ35&gt;6,"Master",VLOOKUP(BJ35,AD48:BH55,2,FALSE))</f>
        <v>Untrained</v>
      </c>
      <c r="N35" s="52"/>
      <c r="O35" s="60" t="str">
        <f>"D20"&amp;Tables!T3&amp;Tables!I12</f>
        <v>D20-4</v>
      </c>
      <c r="P35" s="48"/>
      <c r="Q35" s="52"/>
      <c r="R35" s="102"/>
      <c r="S35" s="72"/>
      <c r="T35" s="125" t="s">
        <v>116</v>
      </c>
      <c r="U35" s="48"/>
      <c r="V35" s="48"/>
      <c r="W35" s="48"/>
      <c r="X35" s="52"/>
      <c r="Y35" s="105"/>
      <c r="Z35" s="52"/>
      <c r="AA35" s="105"/>
      <c r="AB35" s="52"/>
      <c r="AC35" s="105"/>
      <c r="AD35" s="52"/>
      <c r="AE35" s="60" t="str">
        <f>IF(BK35&gt;6,"Master",VLOOKUP(BK35,AD48:AE55,2,FALSE))</f>
        <v>Untrained</v>
      </c>
      <c r="AF35" s="52"/>
      <c r="AG35" s="106" t="str">
        <f>"D20"&amp;Tables!T7&amp;Tables!J12</f>
        <v>D20-4</v>
      </c>
      <c r="AH35" s="48"/>
      <c r="AI35" s="48"/>
      <c r="AJ35" s="102"/>
      <c r="AK35" s="72"/>
      <c r="AL35" s="107" t="s">
        <v>110</v>
      </c>
      <c r="AM35" s="65"/>
      <c r="AN35" s="65"/>
      <c r="AO35" s="186"/>
      <c r="AP35" s="54"/>
      <c r="AQ35" s="105"/>
      <c r="AR35" s="52"/>
      <c r="AS35" s="105"/>
      <c r="AT35" s="52"/>
      <c r="AU35" s="105"/>
      <c r="AV35" s="52"/>
      <c r="AW35" s="60" t="str">
        <f>IF(BL35&gt;6,"Master",VLOOKUP(BL35,AD48:BH55,2,FALSE))</f>
        <v>Untrained</v>
      </c>
      <c r="AX35" s="52"/>
      <c r="AY35" s="106" t="str">
        <f>"D20"&amp;Tables!T9&amp;Tables!K12</f>
        <v>D20-4</v>
      </c>
      <c r="AZ35" s="48"/>
      <c r="BA35" s="48"/>
      <c r="BB35" s="91"/>
      <c r="BC35" s="63"/>
      <c r="BD35" s="1"/>
      <c r="BE35" s="75"/>
      <c r="BF35" s="65"/>
      <c r="BG35" s="65"/>
      <c r="BH35" s="76"/>
      <c r="BI35" s="1"/>
      <c r="BJ35" s="2">
        <f t="shared" si="3"/>
        <v>0</v>
      </c>
      <c r="BK35" s="2">
        <f t="shared" si="4"/>
        <v>0</v>
      </c>
      <c r="BL35" s="2">
        <f t="shared" si="2"/>
        <v>0</v>
      </c>
    </row>
    <row r="36" spans="1:64" ht="19.5" customHeight="1" x14ac:dyDescent="0.25">
      <c r="A36" s="1"/>
      <c r="B36" s="139" t="s">
        <v>117</v>
      </c>
      <c r="C36" s="48"/>
      <c r="D36" s="48"/>
      <c r="E36" s="48"/>
      <c r="F36" s="52"/>
      <c r="G36" s="57"/>
      <c r="H36" s="52"/>
      <c r="I36" s="57"/>
      <c r="J36" s="52"/>
      <c r="K36" s="57"/>
      <c r="L36" s="52"/>
      <c r="M36" s="61" t="str">
        <f>IF(BJ36&gt;6,"Master",VLOOKUP(BJ36,AD48:BH55,2,FALSE))</f>
        <v>Untrained</v>
      </c>
      <c r="N36" s="52"/>
      <c r="O36" s="61" t="str">
        <f>"D20"&amp;Tables!T3&amp;Tables!I13</f>
        <v>D20-4</v>
      </c>
      <c r="P36" s="48"/>
      <c r="Q36" s="52"/>
      <c r="R36" s="71"/>
      <c r="S36" s="72"/>
      <c r="T36" s="51" t="s">
        <v>118</v>
      </c>
      <c r="U36" s="48"/>
      <c r="V36" s="48"/>
      <c r="W36" s="48"/>
      <c r="X36" s="52"/>
      <c r="Y36" s="57"/>
      <c r="Z36" s="52"/>
      <c r="AA36" s="57"/>
      <c r="AB36" s="52"/>
      <c r="AC36" s="57"/>
      <c r="AD36" s="52"/>
      <c r="AE36" s="61" t="str">
        <f>IF(BK36&gt;6,"Master",VLOOKUP(BK36,AD48:BH55,2,FALSE))</f>
        <v>Untrained</v>
      </c>
      <c r="AF36" s="52"/>
      <c r="AG36" s="94" t="str">
        <f>"D20"&amp;Tables!T7&amp;Tables!J13</f>
        <v>D20-4</v>
      </c>
      <c r="AH36" s="48"/>
      <c r="AI36" s="48"/>
      <c r="AJ36" s="71"/>
      <c r="AK36" s="72"/>
      <c r="AL36" s="127" t="s">
        <v>110</v>
      </c>
      <c r="AM36" s="48"/>
      <c r="AN36" s="48"/>
      <c r="AO36" s="215"/>
      <c r="AP36" s="52"/>
      <c r="AQ36" s="57"/>
      <c r="AR36" s="52"/>
      <c r="AS36" s="57"/>
      <c r="AT36" s="52"/>
      <c r="AU36" s="57"/>
      <c r="AV36" s="52"/>
      <c r="AW36" s="61" t="str">
        <f>IF(BL36&gt;6,"Master",VLOOKUP(BL36,AD48:BH55,2,FALSE))</f>
        <v>Untrained</v>
      </c>
      <c r="AX36" s="52"/>
      <c r="AY36" s="94" t="str">
        <f>"D20"&amp;Tables!T9&amp;Tables!K13</f>
        <v>D20-4</v>
      </c>
      <c r="AZ36" s="48"/>
      <c r="BA36" s="48"/>
      <c r="BB36" s="62"/>
      <c r="BC36" s="63"/>
      <c r="BD36" s="1"/>
      <c r="BE36" s="77"/>
      <c r="BF36" s="65"/>
      <c r="BG36" s="65"/>
      <c r="BH36" s="76"/>
      <c r="BI36" s="1"/>
      <c r="BJ36" s="2">
        <f t="shared" si="3"/>
        <v>0</v>
      </c>
      <c r="BK36" s="2">
        <f t="shared" si="4"/>
        <v>0</v>
      </c>
      <c r="BL36" s="2">
        <f t="shared" si="2"/>
        <v>0</v>
      </c>
    </row>
    <row r="37" spans="1:64" ht="19.5" customHeight="1" x14ac:dyDescent="0.25">
      <c r="A37" s="1"/>
      <c r="B37" s="136" t="s">
        <v>119</v>
      </c>
      <c r="C37" s="65"/>
      <c r="D37" s="65"/>
      <c r="E37" s="144"/>
      <c r="F37" s="54"/>
      <c r="G37" s="105"/>
      <c r="H37" s="52"/>
      <c r="I37" s="105"/>
      <c r="J37" s="52"/>
      <c r="K37" s="105"/>
      <c r="L37" s="52"/>
      <c r="M37" s="60" t="str">
        <f>IF(BJ37&gt;6,"Master",VLOOKUP(BJ37,AD48:BH55,2,FALSE))</f>
        <v>Untrained</v>
      </c>
      <c r="N37" s="52"/>
      <c r="O37" s="60" t="str">
        <f>"D20"&amp;Tables!T3&amp;Tables!I14</f>
        <v>D20-4</v>
      </c>
      <c r="P37" s="48"/>
      <c r="Q37" s="52"/>
      <c r="R37" s="102"/>
      <c r="S37" s="72"/>
      <c r="T37" s="125" t="s">
        <v>120</v>
      </c>
      <c r="U37" s="48"/>
      <c r="V37" s="48"/>
      <c r="W37" s="48"/>
      <c r="X37" s="52"/>
      <c r="Y37" s="105"/>
      <c r="Z37" s="52"/>
      <c r="AA37" s="105"/>
      <c r="AB37" s="52"/>
      <c r="AC37" s="105"/>
      <c r="AD37" s="52"/>
      <c r="AE37" s="60" t="str">
        <f>IF(BK37&gt;6,"Master",VLOOKUP(BK37,AD48:BH55,2,FALSE))</f>
        <v>Untrained</v>
      </c>
      <c r="AF37" s="52"/>
      <c r="AG37" s="106" t="str">
        <f>"D20"&amp;Tables!T7&amp;Tables!J14</f>
        <v>D20-4</v>
      </c>
      <c r="AH37" s="48"/>
      <c r="AI37" s="48"/>
      <c r="AJ37" s="102"/>
      <c r="AK37" s="72"/>
      <c r="AL37" s="107" t="s">
        <v>110</v>
      </c>
      <c r="AM37" s="65"/>
      <c r="AN37" s="65"/>
      <c r="AO37" s="186"/>
      <c r="AP37" s="54"/>
      <c r="AQ37" s="105"/>
      <c r="AR37" s="52"/>
      <c r="AS37" s="105"/>
      <c r="AT37" s="52"/>
      <c r="AU37" s="105"/>
      <c r="AV37" s="52"/>
      <c r="AW37" s="60" t="str">
        <f>IF(BL37&gt;6,"Master",VLOOKUP(BL37,AD48:BH55,2,FALSE))</f>
        <v>Untrained</v>
      </c>
      <c r="AX37" s="52"/>
      <c r="AY37" s="106" t="str">
        <f>"D20"&amp;Tables!T9&amp;Tables!K14</f>
        <v>D20-4</v>
      </c>
      <c r="AZ37" s="48"/>
      <c r="BA37" s="48"/>
      <c r="BB37" s="91"/>
      <c r="BC37" s="63"/>
      <c r="BD37" s="1"/>
      <c r="BE37" s="75"/>
      <c r="BF37" s="65"/>
      <c r="BG37" s="65"/>
      <c r="BH37" s="76"/>
      <c r="BI37" s="1"/>
      <c r="BJ37" s="2">
        <f t="shared" si="3"/>
        <v>0</v>
      </c>
      <c r="BK37" s="2">
        <f t="shared" si="4"/>
        <v>0</v>
      </c>
      <c r="BL37" s="2">
        <f t="shared" si="2"/>
        <v>0</v>
      </c>
    </row>
    <row r="38" spans="1:64" ht="19.5" customHeight="1" x14ac:dyDescent="0.25">
      <c r="A38" s="1"/>
      <c r="B38" s="138" t="s">
        <v>119</v>
      </c>
      <c r="C38" s="65"/>
      <c r="D38" s="65"/>
      <c r="E38" s="162"/>
      <c r="F38" s="54"/>
      <c r="G38" s="57"/>
      <c r="H38" s="52"/>
      <c r="I38" s="57"/>
      <c r="J38" s="52"/>
      <c r="K38" s="57"/>
      <c r="L38" s="52"/>
      <c r="M38" s="61" t="str">
        <f>IF(BJ38&gt;6,"Master",VLOOKUP(BJ38,AD48:BH55,2,FALSE))</f>
        <v>Untrained</v>
      </c>
      <c r="N38" s="52"/>
      <c r="O38" s="61" t="str">
        <f>"D20"&amp;Tables!T3&amp;Tables!I15</f>
        <v>D20-4</v>
      </c>
      <c r="P38" s="48"/>
      <c r="Q38" s="52"/>
      <c r="R38" s="71"/>
      <c r="S38" s="72"/>
      <c r="T38" s="51" t="s">
        <v>121</v>
      </c>
      <c r="U38" s="48"/>
      <c r="V38" s="48"/>
      <c r="W38" s="48"/>
      <c r="X38" s="52"/>
      <c r="Y38" s="57"/>
      <c r="Z38" s="52"/>
      <c r="AA38" s="57"/>
      <c r="AB38" s="52"/>
      <c r="AC38" s="57"/>
      <c r="AD38" s="52"/>
      <c r="AE38" s="61" t="str">
        <f>IF(BK38&gt;6,"Master",VLOOKUP(BK38,AD48:BH55,2,FALSE))</f>
        <v>Untrained</v>
      </c>
      <c r="AF38" s="52"/>
      <c r="AG38" s="94" t="str">
        <f>"D20"&amp;Tables!T7&amp;Tables!J15</f>
        <v>D20-4</v>
      </c>
      <c r="AH38" s="48"/>
      <c r="AI38" s="48"/>
      <c r="AJ38" s="71"/>
      <c r="AK38" s="72"/>
      <c r="AL38" s="104" t="s">
        <v>122</v>
      </c>
      <c r="AM38" s="65"/>
      <c r="AN38" s="65"/>
      <c r="AO38" s="103"/>
      <c r="AP38" s="54"/>
      <c r="AQ38" s="57"/>
      <c r="AR38" s="52"/>
      <c r="AS38" s="57"/>
      <c r="AT38" s="52"/>
      <c r="AU38" s="57"/>
      <c r="AV38" s="52"/>
      <c r="AW38" s="61" t="str">
        <f>IF(BL38&gt;6,"Master",VLOOKUP(BL38,AD48:BH55,2,FALSE))</f>
        <v>Untrained</v>
      </c>
      <c r="AX38" s="52"/>
      <c r="AY38" s="94" t="str">
        <f>"D20"&amp;Tables!T9&amp;Tables!K15</f>
        <v>D20-4</v>
      </c>
      <c r="AZ38" s="48"/>
      <c r="BA38" s="48"/>
      <c r="BB38" s="62"/>
      <c r="BC38" s="63"/>
      <c r="BD38" s="1"/>
      <c r="BE38" s="77"/>
      <c r="BF38" s="65"/>
      <c r="BG38" s="65"/>
      <c r="BH38" s="76"/>
      <c r="BI38" s="1"/>
      <c r="BJ38" s="2">
        <f t="shared" si="3"/>
        <v>0</v>
      </c>
      <c r="BK38" s="2">
        <f t="shared" si="4"/>
        <v>0</v>
      </c>
      <c r="BL38" s="2">
        <f t="shared" si="2"/>
        <v>0</v>
      </c>
    </row>
    <row r="39" spans="1:64" ht="19.5" customHeight="1" x14ac:dyDescent="0.25">
      <c r="A39" s="1"/>
      <c r="B39" s="221" t="s">
        <v>119</v>
      </c>
      <c r="C39" s="48"/>
      <c r="D39" s="48"/>
      <c r="E39" s="224"/>
      <c r="F39" s="52"/>
      <c r="G39" s="105"/>
      <c r="H39" s="52"/>
      <c r="I39" s="105"/>
      <c r="J39" s="52"/>
      <c r="K39" s="105"/>
      <c r="L39" s="52"/>
      <c r="M39" s="60" t="str">
        <f>IF(BJ39&gt;6,"Master",VLOOKUP(BJ39,AD48:BH55,2,FALSE))</f>
        <v>Untrained</v>
      </c>
      <c r="N39" s="52"/>
      <c r="O39" s="60" t="str">
        <f>"D20"&amp;Tables!T3&amp;Tables!I16</f>
        <v>D20-4</v>
      </c>
      <c r="P39" s="48"/>
      <c r="Q39" s="52"/>
      <c r="R39" s="102"/>
      <c r="S39" s="72"/>
      <c r="T39" s="125" t="s">
        <v>123</v>
      </c>
      <c r="U39" s="48"/>
      <c r="V39" s="48"/>
      <c r="W39" s="48"/>
      <c r="X39" s="52"/>
      <c r="Y39" s="105"/>
      <c r="Z39" s="52"/>
      <c r="AA39" s="105"/>
      <c r="AB39" s="52"/>
      <c r="AC39" s="105"/>
      <c r="AD39" s="52"/>
      <c r="AE39" s="60" t="str">
        <f>IF(BK39&gt;6,"Master",VLOOKUP(BK39,AD48:BH55,2,FALSE))</f>
        <v>Untrained</v>
      </c>
      <c r="AF39" s="52"/>
      <c r="AG39" s="106" t="str">
        <f>"D20"&amp;Tables!T7&amp;Tables!J16</f>
        <v>D20-4</v>
      </c>
      <c r="AH39" s="48"/>
      <c r="AI39" s="48"/>
      <c r="AJ39" s="102"/>
      <c r="AK39" s="72"/>
      <c r="AL39" s="107" t="s">
        <v>122</v>
      </c>
      <c r="AM39" s="65"/>
      <c r="AN39" s="65"/>
      <c r="AO39" s="186"/>
      <c r="AP39" s="54"/>
      <c r="AQ39" s="105"/>
      <c r="AR39" s="52"/>
      <c r="AS39" s="105"/>
      <c r="AT39" s="52"/>
      <c r="AU39" s="105"/>
      <c r="AV39" s="52"/>
      <c r="AW39" s="60" t="str">
        <f>IF(BL39&gt;6,"Master",VLOOKUP(BL39,AD48:BH55,2,FALSE))</f>
        <v>Untrained</v>
      </c>
      <c r="AX39" s="52"/>
      <c r="AY39" s="106" t="str">
        <f>"D20"&amp;Tables!T9&amp;Tables!K16</f>
        <v>D20-4</v>
      </c>
      <c r="AZ39" s="48"/>
      <c r="BA39" s="48"/>
      <c r="BB39" s="91"/>
      <c r="BC39" s="63"/>
      <c r="BD39" s="1"/>
      <c r="BE39" s="75"/>
      <c r="BF39" s="65"/>
      <c r="BG39" s="65"/>
      <c r="BH39" s="76"/>
      <c r="BI39" s="1"/>
      <c r="BJ39" s="2">
        <f t="shared" si="3"/>
        <v>0</v>
      </c>
      <c r="BK39" s="2">
        <f t="shared" si="4"/>
        <v>0</v>
      </c>
      <c r="BL39" s="2">
        <f t="shared" si="2"/>
        <v>0</v>
      </c>
    </row>
    <row r="40" spans="1:64" ht="19.5" customHeight="1" x14ac:dyDescent="0.25">
      <c r="A40" s="1"/>
      <c r="B40" s="139" t="s">
        <v>124</v>
      </c>
      <c r="C40" s="48"/>
      <c r="D40" s="48"/>
      <c r="E40" s="48"/>
      <c r="F40" s="52"/>
      <c r="G40" s="57"/>
      <c r="H40" s="52"/>
      <c r="I40" s="57"/>
      <c r="J40" s="52"/>
      <c r="K40" s="57"/>
      <c r="L40" s="52"/>
      <c r="M40" s="61" t="str">
        <f>IF(BJ40&gt;6,"Master",VLOOKUP(BJ40,AD48:BH55,2,FALSE))</f>
        <v>Untrained</v>
      </c>
      <c r="N40" s="52"/>
      <c r="O40" s="61" t="str">
        <f>"D20"&amp;Tables!T3&amp;Tables!I17</f>
        <v>D20-4</v>
      </c>
      <c r="P40" s="48"/>
      <c r="Q40" s="52"/>
      <c r="R40" s="71"/>
      <c r="S40" s="72"/>
      <c r="T40" s="204" t="s">
        <v>125</v>
      </c>
      <c r="U40" s="65"/>
      <c r="V40" s="65"/>
      <c r="W40" s="162"/>
      <c r="X40" s="54"/>
      <c r="Y40" s="57"/>
      <c r="Z40" s="52"/>
      <c r="AA40" s="57"/>
      <c r="AB40" s="52"/>
      <c r="AC40" s="57"/>
      <c r="AD40" s="52"/>
      <c r="AE40" s="61" t="str">
        <f>IF(BK40&gt;6,"Master",VLOOKUP(BK40,AD48:BH55,2,FALSE))</f>
        <v>Untrained</v>
      </c>
      <c r="AF40" s="52"/>
      <c r="AG40" s="94" t="str">
        <f>"D20"&amp;Tables!T7&amp;Tables!J17</f>
        <v>D20-4</v>
      </c>
      <c r="AH40" s="48"/>
      <c r="AI40" s="48"/>
      <c r="AJ40" s="71"/>
      <c r="AK40" s="72"/>
      <c r="AL40" s="104" t="s">
        <v>122</v>
      </c>
      <c r="AM40" s="65"/>
      <c r="AN40" s="65"/>
      <c r="AO40" s="103"/>
      <c r="AP40" s="54"/>
      <c r="AQ40" s="57"/>
      <c r="AR40" s="52"/>
      <c r="AS40" s="57"/>
      <c r="AT40" s="52"/>
      <c r="AU40" s="57"/>
      <c r="AV40" s="52"/>
      <c r="AW40" s="61" t="str">
        <f>IF(BL40&gt;6,"Master",VLOOKUP(BL40,AD48:BH55,2,FALSE))</f>
        <v>Untrained</v>
      </c>
      <c r="AX40" s="52"/>
      <c r="AY40" s="94" t="str">
        <f>"D20"&amp;Tables!T9&amp;Tables!K17</f>
        <v>D20-4</v>
      </c>
      <c r="AZ40" s="48"/>
      <c r="BA40" s="48"/>
      <c r="BB40" s="62"/>
      <c r="BC40" s="63"/>
      <c r="BD40" s="1"/>
      <c r="BE40" s="77"/>
      <c r="BF40" s="65"/>
      <c r="BG40" s="65"/>
      <c r="BH40" s="76"/>
      <c r="BI40" s="1"/>
      <c r="BJ40" s="2">
        <f t="shared" si="3"/>
        <v>0</v>
      </c>
      <c r="BK40" s="2">
        <f t="shared" si="4"/>
        <v>0</v>
      </c>
      <c r="BL40" s="2">
        <f t="shared" si="2"/>
        <v>0</v>
      </c>
    </row>
    <row r="41" spans="1:64" ht="19.5" customHeight="1" x14ac:dyDescent="0.25">
      <c r="A41" s="1"/>
      <c r="B41" s="150" t="s">
        <v>126</v>
      </c>
      <c r="C41" s="48"/>
      <c r="D41" s="48"/>
      <c r="E41" s="48"/>
      <c r="F41" s="52"/>
      <c r="G41" s="105"/>
      <c r="H41" s="52"/>
      <c r="I41" s="105"/>
      <c r="J41" s="52"/>
      <c r="K41" s="105"/>
      <c r="L41" s="52"/>
      <c r="M41" s="60" t="str">
        <f>IF(BJ41&gt;6,"Master",VLOOKUP(BJ41,AD48:BH55,2,FALSE))</f>
        <v>Untrained</v>
      </c>
      <c r="N41" s="52"/>
      <c r="O41" s="60" t="str">
        <f>"D20"&amp;Tables!T3&amp;Tables!I18</f>
        <v>D20-4</v>
      </c>
      <c r="P41" s="48"/>
      <c r="Q41" s="52"/>
      <c r="R41" s="102"/>
      <c r="S41" s="72"/>
      <c r="T41" s="228" t="s">
        <v>125</v>
      </c>
      <c r="U41" s="65"/>
      <c r="V41" s="65"/>
      <c r="W41" s="144"/>
      <c r="X41" s="54"/>
      <c r="Y41" s="105"/>
      <c r="Z41" s="52"/>
      <c r="AA41" s="105"/>
      <c r="AB41" s="52"/>
      <c r="AC41" s="105"/>
      <c r="AD41" s="52"/>
      <c r="AE41" s="60" t="str">
        <f>IF(BK41&gt;6,"Master",VLOOKUP(BK41,AD48:BH55,2,FALSE))</f>
        <v>Untrained</v>
      </c>
      <c r="AF41" s="52"/>
      <c r="AG41" s="106" t="str">
        <f>"D20"&amp;Tables!T7&amp;Tables!J18</f>
        <v>D20-4</v>
      </c>
      <c r="AH41" s="48"/>
      <c r="AI41" s="48"/>
      <c r="AJ41" s="102"/>
      <c r="AK41" s="72"/>
      <c r="AL41" s="107" t="s">
        <v>122</v>
      </c>
      <c r="AM41" s="65"/>
      <c r="AN41" s="65"/>
      <c r="AO41" s="213"/>
      <c r="AP41" s="52"/>
      <c r="AQ41" s="105"/>
      <c r="AR41" s="52"/>
      <c r="AS41" s="105"/>
      <c r="AT41" s="52"/>
      <c r="AU41" s="105"/>
      <c r="AV41" s="52"/>
      <c r="AW41" s="60" t="str">
        <f>IF(BL41&gt;6,"Master",VLOOKUP(BL41,AD48:BH55,2,FALSE))</f>
        <v>Untrained</v>
      </c>
      <c r="AX41" s="52"/>
      <c r="AY41" s="106" t="str">
        <f>"D20"&amp;Tables!T9&amp;Tables!K18</f>
        <v>D20-4</v>
      </c>
      <c r="AZ41" s="48"/>
      <c r="BA41" s="48"/>
      <c r="BB41" s="91"/>
      <c r="BC41" s="63"/>
      <c r="BD41" s="1"/>
      <c r="BE41" s="75"/>
      <c r="BF41" s="65"/>
      <c r="BG41" s="65"/>
      <c r="BH41" s="76"/>
      <c r="BI41" s="1"/>
      <c r="BJ41" s="2">
        <f t="shared" si="3"/>
        <v>0</v>
      </c>
      <c r="BK41" s="2">
        <f t="shared" si="4"/>
        <v>0</v>
      </c>
      <c r="BL41" s="2">
        <f t="shared" si="2"/>
        <v>0</v>
      </c>
    </row>
    <row r="42" spans="1:64" ht="19.5" customHeight="1" x14ac:dyDescent="0.25">
      <c r="A42" s="1"/>
      <c r="B42" s="139" t="s">
        <v>127</v>
      </c>
      <c r="C42" s="48"/>
      <c r="D42" s="48"/>
      <c r="E42" s="48"/>
      <c r="F42" s="52"/>
      <c r="G42" s="57"/>
      <c r="H42" s="52"/>
      <c r="I42" s="57"/>
      <c r="J42" s="52"/>
      <c r="K42" s="57"/>
      <c r="L42" s="52"/>
      <c r="M42" s="61" t="str">
        <f>IF(BJ42&gt;6,"Master",VLOOKUP(BJ42,AD48:BH55,2,FALSE))</f>
        <v>Untrained</v>
      </c>
      <c r="N42" s="52"/>
      <c r="O42" s="61" t="str">
        <f>"D20"&amp;Tables!T3&amp;Tables!I19</f>
        <v>D20-4</v>
      </c>
      <c r="P42" s="48"/>
      <c r="Q42" s="52"/>
      <c r="R42" s="71"/>
      <c r="S42" s="72"/>
      <c r="T42" s="119" t="s">
        <v>125</v>
      </c>
      <c r="U42" s="48"/>
      <c r="V42" s="48"/>
      <c r="W42" s="154"/>
      <c r="X42" s="52"/>
      <c r="Y42" s="57"/>
      <c r="Z42" s="52"/>
      <c r="AA42" s="57"/>
      <c r="AB42" s="52"/>
      <c r="AC42" s="57"/>
      <c r="AD42" s="52"/>
      <c r="AE42" s="61" t="str">
        <f>IF(BK42&gt;6,"Master",VLOOKUP(BK42,AD48:BH55,2,FALSE))</f>
        <v>Untrained</v>
      </c>
      <c r="AF42" s="52"/>
      <c r="AG42" s="94" t="str">
        <f>"D20"&amp;Tables!T7&amp;Tables!J19</f>
        <v>D20-4</v>
      </c>
      <c r="AH42" s="48"/>
      <c r="AI42" s="48"/>
      <c r="AJ42" s="71"/>
      <c r="AK42" s="72"/>
      <c r="AL42" s="104" t="s">
        <v>128</v>
      </c>
      <c r="AM42" s="65"/>
      <c r="AN42" s="65"/>
      <c r="AO42" s="103"/>
      <c r="AP42" s="54"/>
      <c r="AQ42" s="57"/>
      <c r="AR42" s="52"/>
      <c r="AS42" s="57"/>
      <c r="AT42" s="52"/>
      <c r="AU42" s="57"/>
      <c r="AV42" s="52"/>
      <c r="AW42" s="61" t="str">
        <f>IF(BL42&gt;6,"Master",VLOOKUP(BL42,AD48:BH55,2,FALSE))</f>
        <v>Untrained</v>
      </c>
      <c r="AX42" s="52"/>
      <c r="AY42" s="94" t="str">
        <f>"D20"&amp;Tables!T9&amp;Tables!K19</f>
        <v>D20-4</v>
      </c>
      <c r="AZ42" s="48"/>
      <c r="BA42" s="48"/>
      <c r="BB42" s="62"/>
      <c r="BC42" s="63"/>
      <c r="BD42" s="1"/>
      <c r="BE42" s="77"/>
      <c r="BF42" s="65"/>
      <c r="BG42" s="65"/>
      <c r="BH42" s="76"/>
      <c r="BI42" s="1"/>
      <c r="BJ42" s="2">
        <f t="shared" si="3"/>
        <v>0</v>
      </c>
      <c r="BK42" s="2">
        <f t="shared" si="4"/>
        <v>0</v>
      </c>
      <c r="BL42" s="2">
        <f t="shared" si="2"/>
        <v>0</v>
      </c>
    </row>
    <row r="43" spans="1:64" ht="19.5" customHeight="1" x14ac:dyDescent="0.25">
      <c r="A43" s="1"/>
      <c r="B43" s="150" t="s">
        <v>129</v>
      </c>
      <c r="C43" s="48"/>
      <c r="D43" s="48"/>
      <c r="E43" s="48"/>
      <c r="F43" s="52"/>
      <c r="G43" s="105"/>
      <c r="H43" s="52"/>
      <c r="I43" s="105"/>
      <c r="J43" s="52"/>
      <c r="K43" s="105"/>
      <c r="L43" s="52"/>
      <c r="M43" s="60" t="str">
        <f>IF(BJ43&gt;6,"Master",VLOOKUP(BJ43,AD48:BH55,2,FALSE))</f>
        <v>Untrained</v>
      </c>
      <c r="N43" s="52"/>
      <c r="O43" s="60" t="str">
        <f>"D20"&amp;Tables!T3&amp;Tables!I20</f>
        <v>D20-4</v>
      </c>
      <c r="P43" s="48"/>
      <c r="Q43" s="52"/>
      <c r="R43" s="102"/>
      <c r="S43" s="72"/>
      <c r="T43" s="125" t="s">
        <v>130</v>
      </c>
      <c r="U43" s="48"/>
      <c r="V43" s="48"/>
      <c r="W43" s="48"/>
      <c r="X43" s="52"/>
      <c r="Y43" s="105"/>
      <c r="Z43" s="52"/>
      <c r="AA43" s="105"/>
      <c r="AB43" s="52"/>
      <c r="AC43" s="105"/>
      <c r="AD43" s="52"/>
      <c r="AE43" s="60" t="str">
        <f>IF(BK43&gt;6,"Master",VLOOKUP(BK43,AD48:BH55,2,FALSE))</f>
        <v>Untrained</v>
      </c>
      <c r="AF43" s="52"/>
      <c r="AG43" s="106" t="str">
        <f>"D20"&amp;Tables!T7&amp;Tables!J20</f>
        <v>D20-4</v>
      </c>
      <c r="AH43" s="48"/>
      <c r="AI43" s="48"/>
      <c r="AJ43" s="102"/>
      <c r="AK43" s="72"/>
      <c r="AL43" s="107" t="s">
        <v>128</v>
      </c>
      <c r="AM43" s="65"/>
      <c r="AN43" s="65"/>
      <c r="AO43" s="186"/>
      <c r="AP43" s="54"/>
      <c r="AQ43" s="105"/>
      <c r="AR43" s="52"/>
      <c r="AS43" s="105"/>
      <c r="AT43" s="52"/>
      <c r="AU43" s="105"/>
      <c r="AV43" s="52"/>
      <c r="AW43" s="60" t="str">
        <f>IF(BL43&gt;6,"Master",VLOOKUP(BL43,AD48:BH55,2,FALSE))</f>
        <v>Untrained</v>
      </c>
      <c r="AX43" s="52"/>
      <c r="AY43" s="106" t="str">
        <f>"D20"&amp;Tables!T9&amp;Tables!K20</f>
        <v>D20-4</v>
      </c>
      <c r="AZ43" s="48"/>
      <c r="BA43" s="48"/>
      <c r="BB43" s="91"/>
      <c r="BC43" s="63"/>
      <c r="BD43" s="1"/>
      <c r="BE43" s="75"/>
      <c r="BF43" s="65"/>
      <c r="BG43" s="65"/>
      <c r="BH43" s="76"/>
      <c r="BI43" s="1"/>
      <c r="BJ43" s="2">
        <f t="shared" si="3"/>
        <v>0</v>
      </c>
      <c r="BK43" s="2">
        <f t="shared" si="4"/>
        <v>0</v>
      </c>
      <c r="BL43" s="2">
        <f t="shared" si="2"/>
        <v>0</v>
      </c>
    </row>
    <row r="44" spans="1:64" ht="19.5" customHeight="1" x14ac:dyDescent="0.25">
      <c r="A44" s="1"/>
      <c r="B44" s="139" t="s">
        <v>131</v>
      </c>
      <c r="C44" s="48"/>
      <c r="D44" s="48"/>
      <c r="E44" s="48"/>
      <c r="F44" s="52"/>
      <c r="G44" s="57">
        <v>1</v>
      </c>
      <c r="H44" s="48"/>
      <c r="I44" s="48"/>
      <c r="J44" s="52"/>
      <c r="K44" s="57"/>
      <c r="L44" s="52"/>
      <c r="M44" s="61" t="str">
        <f>IF(BJ44&gt;6,"Master",VLOOKUP(BJ44,AD48:BH55,2,FALSE))</f>
        <v>Trained</v>
      </c>
      <c r="N44" s="52"/>
      <c r="O44" s="61" t="str">
        <f>"D20"&amp;Tables!T3&amp;Tables!I21</f>
        <v>D20+2</v>
      </c>
      <c r="P44" s="48"/>
      <c r="Q44" s="52"/>
      <c r="R44" s="71"/>
      <c r="S44" s="72"/>
      <c r="T44" s="195" t="s">
        <v>132</v>
      </c>
      <c r="U44" s="167"/>
      <c r="V44" s="167"/>
      <c r="W44" s="167"/>
      <c r="X44" s="101"/>
      <c r="Y44" s="171"/>
      <c r="Z44" s="101"/>
      <c r="AA44" s="171"/>
      <c r="AB44" s="101"/>
      <c r="AC44" s="171"/>
      <c r="AD44" s="101"/>
      <c r="AE44" s="189" t="str">
        <f>IF(BK44&gt;6,"Master",VLOOKUP(BK44,AD48:BH55,2,FALSE))</f>
        <v>Untrained</v>
      </c>
      <c r="AF44" s="101"/>
      <c r="AG44" s="230" t="str">
        <f>"D20"&amp;Tables!T7&amp;Tables!J21</f>
        <v>D20-4</v>
      </c>
      <c r="AH44" s="167"/>
      <c r="AI44" s="167"/>
      <c r="AJ44" s="192"/>
      <c r="AK44" s="193"/>
      <c r="AL44" s="104" t="s">
        <v>128</v>
      </c>
      <c r="AM44" s="65"/>
      <c r="AN44" s="65"/>
      <c r="AO44" s="103"/>
      <c r="AP44" s="54"/>
      <c r="AQ44" s="57"/>
      <c r="AR44" s="52"/>
      <c r="AS44" s="57"/>
      <c r="AT44" s="52"/>
      <c r="AU44" s="57"/>
      <c r="AV44" s="52"/>
      <c r="AW44" s="61" t="str">
        <f>IF(BL44&gt;6,"Master",VLOOKUP(BL44,AD48:BH55,2,FALSE))</f>
        <v>Untrained</v>
      </c>
      <c r="AX44" s="52"/>
      <c r="AY44" s="121" t="str">
        <f>"D20"&amp;Tables!T9&amp;Tables!K21</f>
        <v>D20-4</v>
      </c>
      <c r="AZ44" s="65"/>
      <c r="BA44" s="65"/>
      <c r="BB44" s="62"/>
      <c r="BC44" s="63"/>
      <c r="BD44" s="1"/>
      <c r="BE44" s="77"/>
      <c r="BF44" s="65"/>
      <c r="BG44" s="65"/>
      <c r="BH44" s="76"/>
      <c r="BI44" s="1"/>
      <c r="BJ44" s="2">
        <f>G44+K44</f>
        <v>1</v>
      </c>
      <c r="BK44" s="2">
        <f t="shared" si="4"/>
        <v>0</v>
      </c>
      <c r="BL44" s="2">
        <f t="shared" si="2"/>
        <v>0</v>
      </c>
    </row>
    <row r="45" spans="1:64" ht="19.5" customHeight="1" x14ac:dyDescent="0.25">
      <c r="A45" s="1"/>
      <c r="B45" s="220" t="s">
        <v>133</v>
      </c>
      <c r="C45" s="96"/>
      <c r="D45" s="96"/>
      <c r="E45" s="96"/>
      <c r="F45" s="46"/>
      <c r="G45" s="21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198"/>
      <c r="T45" s="184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196" t="s">
        <v>128</v>
      </c>
      <c r="AM45" s="96"/>
      <c r="AN45" s="96"/>
      <c r="AO45" s="200"/>
      <c r="AP45" s="46"/>
      <c r="AQ45" s="152"/>
      <c r="AR45" s="46"/>
      <c r="AS45" s="152"/>
      <c r="AT45" s="46"/>
      <c r="AU45" s="152"/>
      <c r="AV45" s="46"/>
      <c r="AW45" s="45" t="str">
        <f>IF(BL45&gt;6,"Master",VLOOKUP(BL45,AD48:BH55,2,FALSE))</f>
        <v>Untrained</v>
      </c>
      <c r="AX45" s="46"/>
      <c r="AY45" s="45" t="str">
        <f>"D20"&amp;Tables!T9&amp;Tables!K22</f>
        <v>D20-4</v>
      </c>
      <c r="AZ45" s="96"/>
      <c r="BA45" s="46"/>
      <c r="BB45" s="120"/>
      <c r="BC45" s="98"/>
      <c r="BD45" s="1"/>
      <c r="BE45" s="207"/>
      <c r="BF45" s="174"/>
      <c r="BG45" s="174"/>
      <c r="BH45" s="56"/>
      <c r="BI45" s="1"/>
      <c r="BJ45" s="2"/>
      <c r="BK45" s="2"/>
      <c r="BL45" s="2">
        <f t="shared" si="2"/>
        <v>0</v>
      </c>
    </row>
    <row r="46" spans="1:64" ht="41.25" customHeight="1" x14ac:dyDescent="0.25">
      <c r="A46" s="1"/>
      <c r="B46" s="151" t="str">
        <f>"You have "&amp;AC7*2&amp;" Education skill points for Education skills; "&amp;AC7*2-SUM(G24:H31,G34:H43,Y24:Z31,Y34:Z44,AQ24:AR45)&amp;" points remaining    You have "&amp;AC5*1&amp;" Intuition skill points that can be used for Education skills; "&amp;AC5-SUM(I24:J31,I34:J43,AA24:AB31,AA34:AB44,AS24:AT45)&amp;" points remaining"</f>
        <v>You have 0 Education skill points for Education skills; 0 points remaining    You have 0 Intuition skill points that can be used for Education skills; 0 points remaining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1"/>
      <c r="BE46" s="1"/>
      <c r="BF46" s="1"/>
      <c r="BG46" s="1"/>
      <c r="BH46" s="1"/>
      <c r="BI46" s="1"/>
      <c r="BJ46" s="1"/>
      <c r="BK46" s="1"/>
      <c r="BL46" s="1"/>
    </row>
    <row r="47" spans="1:64" ht="24" customHeight="1" x14ac:dyDescent="0.25">
      <c r="A47" s="1"/>
      <c r="B47" s="58" t="s">
        <v>134</v>
      </c>
      <c r="C47" s="43"/>
      <c r="D47" s="43"/>
      <c r="E47" s="44"/>
      <c r="F47" s="68" t="s">
        <v>135</v>
      </c>
      <c r="G47" s="58" t="s">
        <v>134</v>
      </c>
      <c r="H47" s="43"/>
      <c r="I47" s="43"/>
      <c r="J47" s="44"/>
      <c r="K47" s="1"/>
      <c r="L47" s="42" t="s">
        <v>136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4"/>
      <c r="AD47" s="1"/>
      <c r="AE47" s="165" t="s">
        <v>137</v>
      </c>
      <c r="AF47" s="132"/>
      <c r="AG47" s="132"/>
      <c r="AH47" s="132"/>
      <c r="AI47" s="132"/>
      <c r="AJ47" s="132"/>
      <c r="AK47" s="132"/>
      <c r="AL47" s="132"/>
      <c r="AM47" s="132"/>
      <c r="AN47" s="133"/>
      <c r="AO47" s="1"/>
      <c r="AP47" s="165" t="s">
        <v>138</v>
      </c>
      <c r="AQ47" s="133"/>
      <c r="AR47" s="1"/>
      <c r="AS47" s="165" t="s">
        <v>139</v>
      </c>
      <c r="AT47" s="133"/>
      <c r="AU47" s="1"/>
      <c r="AV47" s="165" t="s">
        <v>140</v>
      </c>
      <c r="AW47" s="133"/>
      <c r="AX47" s="1"/>
      <c r="AY47" s="201" t="s">
        <v>141</v>
      </c>
      <c r="AZ47" s="132"/>
      <c r="BA47" s="132"/>
      <c r="BB47" s="132"/>
      <c r="BC47" s="202"/>
      <c r="BD47" s="131" t="s">
        <v>142</v>
      </c>
      <c r="BE47" s="132"/>
      <c r="BF47" s="132"/>
      <c r="BG47" s="132"/>
      <c r="BH47" s="133"/>
      <c r="BI47" s="1"/>
      <c r="BJ47" s="1"/>
      <c r="BK47" s="1"/>
      <c r="BL47" s="1"/>
    </row>
    <row r="48" spans="1:64" ht="19.5" customHeight="1" x14ac:dyDescent="0.25">
      <c r="A48" s="1"/>
      <c r="B48" s="47">
        <f>D50+D52-D51</f>
        <v>0</v>
      </c>
      <c r="C48" s="48"/>
      <c r="D48" s="73" t="str">
        <f>"/"&amp;D50+D52</f>
        <v>/0</v>
      </c>
      <c r="E48" s="63"/>
      <c r="F48" s="69"/>
      <c r="G48" s="47">
        <f>I50+I52-I51</f>
        <v>0</v>
      </c>
      <c r="H48" s="48"/>
      <c r="I48" s="73" t="str">
        <f>"/"&amp;I50+I52</f>
        <v>/0</v>
      </c>
      <c r="J48" s="63"/>
      <c r="K48" s="1"/>
      <c r="L48" s="116" t="s">
        <v>143</v>
      </c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6"/>
      <c r="AD48" s="1"/>
      <c r="AE48" s="108" t="s">
        <v>144</v>
      </c>
      <c r="AF48" s="65"/>
      <c r="AG48" s="65"/>
      <c r="AH48" s="54"/>
      <c r="AI48" s="155" t="s">
        <v>145</v>
      </c>
      <c r="AJ48" s="65"/>
      <c r="AK48" s="54"/>
      <c r="AL48" s="170" t="s">
        <v>146</v>
      </c>
      <c r="AM48" s="65"/>
      <c r="AN48" s="76"/>
      <c r="AO48" s="1"/>
      <c r="AP48" s="75" t="s">
        <v>88</v>
      </c>
      <c r="AQ48" s="76"/>
      <c r="AR48" s="1"/>
      <c r="AS48" s="75" t="s">
        <v>147</v>
      </c>
      <c r="AT48" s="76"/>
      <c r="AU48" s="1"/>
      <c r="AV48" s="75" t="s">
        <v>148</v>
      </c>
      <c r="AW48" s="76"/>
      <c r="AX48" s="1"/>
      <c r="AY48" s="84" t="s">
        <v>149</v>
      </c>
      <c r="AZ48" s="65"/>
      <c r="BA48" s="65"/>
      <c r="BB48" s="65"/>
      <c r="BC48" s="85"/>
      <c r="BD48" s="163" t="s">
        <v>150</v>
      </c>
      <c r="BE48" s="65"/>
      <c r="BF48" s="65"/>
      <c r="BG48" s="65"/>
      <c r="BH48" s="76"/>
      <c r="BI48" s="1"/>
      <c r="BJ48" s="1"/>
      <c r="BK48" s="1"/>
      <c r="BL48" s="1"/>
    </row>
    <row r="49" spans="1:64" ht="19.5" customHeight="1" x14ac:dyDescent="0.25">
      <c r="A49" s="1"/>
      <c r="B49" s="49"/>
      <c r="C49" s="50"/>
      <c r="D49" s="50"/>
      <c r="E49" s="74"/>
      <c r="F49" s="69"/>
      <c r="G49" s="49"/>
      <c r="H49" s="50"/>
      <c r="I49" s="50"/>
      <c r="J49" s="74"/>
      <c r="K49" s="1"/>
      <c r="L49" s="118" t="s">
        <v>75</v>
      </c>
      <c r="M49" s="65"/>
      <c r="N49" s="65"/>
      <c r="O49" s="65"/>
      <c r="P49" s="54"/>
      <c r="Q49" s="110" t="s">
        <v>151</v>
      </c>
      <c r="R49" s="65"/>
      <c r="S49" s="54"/>
      <c r="T49" s="110" t="s">
        <v>152</v>
      </c>
      <c r="U49" s="54"/>
      <c r="V49" s="110" t="s">
        <v>76</v>
      </c>
      <c r="W49" s="54"/>
      <c r="X49" s="110" t="s">
        <v>77</v>
      </c>
      <c r="Y49" s="65"/>
      <c r="Z49" s="65"/>
      <c r="AA49" s="54"/>
      <c r="AB49" s="175" t="s">
        <v>7</v>
      </c>
      <c r="AC49" s="66"/>
      <c r="AD49" s="2">
        <v>0</v>
      </c>
      <c r="AE49" s="122" t="s">
        <v>153</v>
      </c>
      <c r="AF49" s="65"/>
      <c r="AG49" s="65"/>
      <c r="AH49" s="54"/>
      <c r="AI49" s="88">
        <v>-4</v>
      </c>
      <c r="AJ49" s="65"/>
      <c r="AK49" s="54"/>
      <c r="AL49" s="126">
        <v>0</v>
      </c>
      <c r="AM49" s="65"/>
      <c r="AN49" s="76"/>
      <c r="AO49" s="2" t="s">
        <v>154</v>
      </c>
      <c r="AP49" s="77" t="s">
        <v>155</v>
      </c>
      <c r="AQ49" s="76"/>
      <c r="AR49" s="12" t="s">
        <v>156</v>
      </c>
      <c r="AS49" s="77" t="s">
        <v>157</v>
      </c>
      <c r="AT49" s="76"/>
      <c r="AU49" s="1"/>
      <c r="AV49" s="77" t="s">
        <v>158</v>
      </c>
      <c r="AW49" s="76"/>
      <c r="AX49" s="1"/>
      <c r="AY49" s="153" t="s">
        <v>159</v>
      </c>
      <c r="AZ49" s="65"/>
      <c r="BA49" s="65"/>
      <c r="BB49" s="65"/>
      <c r="BC49" s="85"/>
      <c r="BD49" s="117" t="s">
        <v>160</v>
      </c>
      <c r="BE49" s="65"/>
      <c r="BF49" s="65"/>
      <c r="BG49" s="65"/>
      <c r="BH49" s="76"/>
      <c r="BI49" s="1"/>
      <c r="BJ49" s="1"/>
      <c r="BK49" s="1"/>
      <c r="BL49" s="1"/>
    </row>
    <row r="50" spans="1:64" ht="19.5" customHeight="1" x14ac:dyDescent="0.25">
      <c r="A50" s="1"/>
      <c r="B50" s="53" t="s">
        <v>161</v>
      </c>
      <c r="C50" s="54"/>
      <c r="D50" s="78"/>
      <c r="E50" s="66"/>
      <c r="F50" s="69"/>
      <c r="G50" s="53" t="s">
        <v>161</v>
      </c>
      <c r="H50" s="54"/>
      <c r="I50" s="78"/>
      <c r="J50" s="66"/>
      <c r="K50" s="1"/>
      <c r="L50" s="79"/>
      <c r="M50" s="65"/>
      <c r="N50" s="65"/>
      <c r="O50" s="65"/>
      <c r="P50" s="54"/>
      <c r="Q50" s="87"/>
      <c r="R50" s="65"/>
      <c r="S50" s="54"/>
      <c r="T50" s="87"/>
      <c r="U50" s="54"/>
      <c r="V50" s="87" t="s">
        <v>32</v>
      </c>
      <c r="W50" s="54"/>
      <c r="X50" s="87" t="str">
        <f>"D20"&amp;Tables!Q1&amp;IF(T50+AB50=0,"",IF(T50+AB50&gt;0,"+"&amp;T50+AB50,T50+AB50))&amp;Tables!S1</f>
        <v>D20</v>
      </c>
      <c r="Y50" s="65"/>
      <c r="Z50" s="65"/>
      <c r="AA50" s="54"/>
      <c r="AB50" s="81"/>
      <c r="AC50" s="66"/>
      <c r="AD50" s="2">
        <v>1</v>
      </c>
      <c r="AE50" s="181" t="s">
        <v>162</v>
      </c>
      <c r="AF50" s="65"/>
      <c r="AG50" s="65"/>
      <c r="AH50" s="54"/>
      <c r="AI50" s="87">
        <v>2</v>
      </c>
      <c r="AJ50" s="65"/>
      <c r="AK50" s="54"/>
      <c r="AL50" s="124">
        <v>1</v>
      </c>
      <c r="AM50" s="65"/>
      <c r="AN50" s="76"/>
      <c r="AO50" s="2" t="s">
        <v>163</v>
      </c>
      <c r="AP50" s="75" t="s">
        <v>164</v>
      </c>
      <c r="AQ50" s="76"/>
      <c r="AR50" s="12" t="s">
        <v>165</v>
      </c>
      <c r="AS50" s="75" t="s">
        <v>166</v>
      </c>
      <c r="AT50" s="76"/>
      <c r="AU50" s="1"/>
      <c r="AV50" s="75" t="s">
        <v>167</v>
      </c>
      <c r="AW50" s="76"/>
      <c r="AX50" s="1"/>
      <c r="AY50" s="84" t="s">
        <v>168</v>
      </c>
      <c r="AZ50" s="65"/>
      <c r="BA50" s="65"/>
      <c r="BB50" s="65"/>
      <c r="BC50" s="85"/>
      <c r="BD50" s="163" t="s">
        <v>169</v>
      </c>
      <c r="BE50" s="65"/>
      <c r="BF50" s="65"/>
      <c r="BG50" s="65"/>
      <c r="BH50" s="76"/>
      <c r="BI50" s="1"/>
      <c r="BJ50" s="1"/>
      <c r="BK50" s="1"/>
      <c r="BL50" s="1"/>
    </row>
    <row r="51" spans="1:64" ht="19.5" customHeight="1" x14ac:dyDescent="0.25">
      <c r="A51" s="1"/>
      <c r="B51" s="79" t="s">
        <v>51</v>
      </c>
      <c r="C51" s="54"/>
      <c r="D51" s="81"/>
      <c r="E51" s="66"/>
      <c r="F51" s="69"/>
      <c r="G51" s="79" t="s">
        <v>51</v>
      </c>
      <c r="H51" s="54"/>
      <c r="I51" s="81"/>
      <c r="J51" s="66"/>
      <c r="K51" s="1"/>
      <c r="L51" s="53"/>
      <c r="M51" s="65"/>
      <c r="N51" s="65"/>
      <c r="O51" s="65"/>
      <c r="P51" s="54"/>
      <c r="Q51" s="88"/>
      <c r="R51" s="65"/>
      <c r="S51" s="54"/>
      <c r="T51" s="88"/>
      <c r="U51" s="54"/>
      <c r="V51" s="88" t="s">
        <v>32</v>
      </c>
      <c r="W51" s="54"/>
      <c r="X51" s="88" t="str">
        <f>"D20"&amp;Tables!Q2&amp;IF(T51+AB51=0,"",IF(T51+AB51&gt;0,"+"&amp;T51+AB51,T51+AB51))&amp;Tables!S2</f>
        <v>D20</v>
      </c>
      <c r="Y51" s="65"/>
      <c r="Z51" s="65"/>
      <c r="AA51" s="54"/>
      <c r="AB51" s="78"/>
      <c r="AC51" s="66"/>
      <c r="AD51" s="2">
        <v>2</v>
      </c>
      <c r="AE51" s="122" t="s">
        <v>170</v>
      </c>
      <c r="AF51" s="65"/>
      <c r="AG51" s="65"/>
      <c r="AH51" s="54"/>
      <c r="AI51" s="88">
        <v>4</v>
      </c>
      <c r="AJ51" s="65"/>
      <c r="AK51" s="54"/>
      <c r="AL51" s="126">
        <v>2</v>
      </c>
      <c r="AM51" s="65"/>
      <c r="AN51" s="76"/>
      <c r="AO51" s="2" t="s">
        <v>171</v>
      </c>
      <c r="AP51" s="77" t="s">
        <v>172</v>
      </c>
      <c r="AQ51" s="76"/>
      <c r="AR51" s="12" t="s">
        <v>173</v>
      </c>
      <c r="AS51" s="77" t="s">
        <v>174</v>
      </c>
      <c r="AT51" s="76"/>
      <c r="AU51" s="1"/>
      <c r="AV51" s="77" t="s">
        <v>175</v>
      </c>
      <c r="AW51" s="76"/>
      <c r="AX51" s="1"/>
      <c r="AY51" s="153" t="s">
        <v>176</v>
      </c>
      <c r="AZ51" s="65"/>
      <c r="BA51" s="65"/>
      <c r="BB51" s="65"/>
      <c r="BC51" s="85"/>
      <c r="BD51" s="117" t="s">
        <v>177</v>
      </c>
      <c r="BE51" s="65"/>
      <c r="BF51" s="65"/>
      <c r="BG51" s="65"/>
      <c r="BH51" s="76"/>
      <c r="BI51" s="1"/>
      <c r="BJ51" s="1"/>
      <c r="BK51" s="1"/>
      <c r="BL51" s="1"/>
    </row>
    <row r="52" spans="1:64" ht="19.5" customHeight="1" x14ac:dyDescent="0.25">
      <c r="A52" s="1"/>
      <c r="B52" s="137" t="s">
        <v>46</v>
      </c>
      <c r="C52" s="46"/>
      <c r="D52" s="120"/>
      <c r="E52" s="98"/>
      <c r="F52" s="70"/>
      <c r="G52" s="137" t="s">
        <v>46</v>
      </c>
      <c r="H52" s="46"/>
      <c r="I52" s="120"/>
      <c r="J52" s="98"/>
      <c r="K52" s="1"/>
      <c r="L52" s="79"/>
      <c r="M52" s="65"/>
      <c r="N52" s="65"/>
      <c r="O52" s="65"/>
      <c r="P52" s="54"/>
      <c r="Q52" s="87"/>
      <c r="R52" s="65"/>
      <c r="S52" s="54"/>
      <c r="T52" s="87"/>
      <c r="U52" s="54"/>
      <c r="V52" s="87" t="s">
        <v>32</v>
      </c>
      <c r="W52" s="54"/>
      <c r="X52" s="87" t="str">
        <f>"D20"&amp;Tables!Q3&amp;IF(T52+AB52=0,"",IF(T52+AB52&gt;0,"+"&amp;T52+AB52,T52+AB52))&amp;Tables!S3</f>
        <v>D20</v>
      </c>
      <c r="Y52" s="65"/>
      <c r="Z52" s="65"/>
      <c r="AA52" s="54"/>
      <c r="AB52" s="81"/>
      <c r="AC52" s="66"/>
      <c r="AD52" s="2">
        <v>3</v>
      </c>
      <c r="AE52" s="181" t="s">
        <v>178</v>
      </c>
      <c r="AF52" s="65"/>
      <c r="AG52" s="65"/>
      <c r="AH52" s="54"/>
      <c r="AI52" s="87">
        <v>5</v>
      </c>
      <c r="AJ52" s="65"/>
      <c r="AK52" s="54"/>
      <c r="AL52" s="124">
        <v>3</v>
      </c>
      <c r="AM52" s="65"/>
      <c r="AN52" s="76"/>
      <c r="AO52" s="2" t="s">
        <v>179</v>
      </c>
      <c r="AP52" s="75" t="s">
        <v>180</v>
      </c>
      <c r="AQ52" s="76"/>
      <c r="AR52" s="12" t="s">
        <v>181</v>
      </c>
      <c r="AS52" s="75" t="s">
        <v>182</v>
      </c>
      <c r="AT52" s="76"/>
      <c r="AU52" s="1"/>
      <c r="AV52" s="75"/>
      <c r="AW52" s="76"/>
      <c r="AX52" s="1"/>
      <c r="AY52" s="84" t="s">
        <v>183</v>
      </c>
      <c r="AZ52" s="65"/>
      <c r="BA52" s="65"/>
      <c r="BB52" s="65"/>
      <c r="BC52" s="85"/>
      <c r="BD52" s="163" t="s">
        <v>184</v>
      </c>
      <c r="BE52" s="65"/>
      <c r="BF52" s="65"/>
      <c r="BG52" s="65"/>
      <c r="BH52" s="76"/>
      <c r="BI52" s="1"/>
      <c r="BJ52" s="1"/>
      <c r="BK52" s="1"/>
      <c r="BL52" s="1"/>
    </row>
    <row r="53" spans="1:64" ht="19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3"/>
      <c r="M53" s="65"/>
      <c r="N53" s="65"/>
      <c r="O53" s="65"/>
      <c r="P53" s="54"/>
      <c r="Q53" s="88"/>
      <c r="R53" s="65"/>
      <c r="S53" s="54"/>
      <c r="T53" s="88"/>
      <c r="U53" s="54"/>
      <c r="V53" s="88" t="s">
        <v>32</v>
      </c>
      <c r="W53" s="54"/>
      <c r="X53" s="88" t="str">
        <f>"D20"&amp;Tables!Q4&amp;IF(T53+AB53=0,"",IF(T53+AB53&gt;0,"+"&amp;T53+AB53,T53+AB53))&amp;Tables!S4</f>
        <v>D20</v>
      </c>
      <c r="Y53" s="65"/>
      <c r="Z53" s="65"/>
      <c r="AA53" s="54"/>
      <c r="AB53" s="78"/>
      <c r="AC53" s="66"/>
      <c r="AD53" s="2">
        <v>4</v>
      </c>
      <c r="AE53" s="122" t="s">
        <v>185</v>
      </c>
      <c r="AF53" s="65"/>
      <c r="AG53" s="65"/>
      <c r="AH53" s="54"/>
      <c r="AI53" s="88">
        <v>6</v>
      </c>
      <c r="AJ53" s="65"/>
      <c r="AK53" s="54"/>
      <c r="AL53" s="126">
        <v>4</v>
      </c>
      <c r="AM53" s="65"/>
      <c r="AN53" s="76"/>
      <c r="AO53" s="2" t="s">
        <v>186</v>
      </c>
      <c r="AP53" s="77"/>
      <c r="AQ53" s="76"/>
      <c r="AR53" s="12" t="s">
        <v>187</v>
      </c>
      <c r="AS53" s="77"/>
      <c r="AT53" s="76"/>
      <c r="AU53" s="1"/>
      <c r="AV53" s="77"/>
      <c r="AW53" s="76"/>
      <c r="AX53" s="1"/>
      <c r="AY53" s="153" t="s">
        <v>188</v>
      </c>
      <c r="AZ53" s="65"/>
      <c r="BA53" s="65"/>
      <c r="BB53" s="65"/>
      <c r="BC53" s="85"/>
      <c r="BD53" s="117" t="s">
        <v>189</v>
      </c>
      <c r="BE53" s="65"/>
      <c r="BF53" s="65"/>
      <c r="BG53" s="65"/>
      <c r="BH53" s="76"/>
      <c r="BI53" s="1"/>
      <c r="BJ53" s="1"/>
      <c r="BK53" s="1"/>
      <c r="BL53" s="1"/>
    </row>
    <row r="54" spans="1:64" ht="34.5" customHeight="1" x14ac:dyDescent="0.25">
      <c r="A54" s="1"/>
      <c r="B54" s="58" t="s">
        <v>134</v>
      </c>
      <c r="C54" s="43"/>
      <c r="D54" s="43"/>
      <c r="E54" s="44"/>
      <c r="F54" s="68" t="s">
        <v>135</v>
      </c>
      <c r="G54" s="58" t="s">
        <v>134</v>
      </c>
      <c r="H54" s="43"/>
      <c r="I54" s="43"/>
      <c r="J54" s="44"/>
      <c r="K54" s="1"/>
      <c r="L54" s="79"/>
      <c r="M54" s="65"/>
      <c r="N54" s="65"/>
      <c r="O54" s="65"/>
      <c r="P54" s="54"/>
      <c r="Q54" s="87"/>
      <c r="R54" s="65"/>
      <c r="S54" s="54"/>
      <c r="T54" s="87"/>
      <c r="U54" s="54"/>
      <c r="V54" s="87" t="s">
        <v>32</v>
      </c>
      <c r="W54" s="54"/>
      <c r="X54" s="87" t="str">
        <f>"D20"&amp;Tables!Q5&amp;IF(T54+AB54=0,"",IF(T54+AB54&gt;0,"+"&amp;T54+AB54,T54+AB54))&amp;Tables!S5</f>
        <v>D20</v>
      </c>
      <c r="Y54" s="65"/>
      <c r="Z54" s="65"/>
      <c r="AA54" s="54"/>
      <c r="AB54" s="81"/>
      <c r="AC54" s="66"/>
      <c r="AD54" s="2">
        <v>5</v>
      </c>
      <c r="AE54" s="181" t="s">
        <v>190</v>
      </c>
      <c r="AF54" s="65"/>
      <c r="AG54" s="65"/>
      <c r="AH54" s="54"/>
      <c r="AI54" s="87">
        <v>7</v>
      </c>
      <c r="AJ54" s="65"/>
      <c r="AK54" s="54"/>
      <c r="AL54" s="124">
        <v>5</v>
      </c>
      <c r="AM54" s="65"/>
      <c r="AN54" s="76"/>
      <c r="AO54" s="2" t="s">
        <v>191</v>
      </c>
      <c r="AP54" s="75"/>
      <c r="AQ54" s="76"/>
      <c r="AR54" s="12" t="s">
        <v>192</v>
      </c>
      <c r="AS54" s="75"/>
      <c r="AT54" s="76"/>
      <c r="AU54" s="1"/>
      <c r="AV54" s="75"/>
      <c r="AW54" s="76"/>
      <c r="AX54" s="1"/>
      <c r="AY54" s="84" t="s">
        <v>193</v>
      </c>
      <c r="AZ54" s="65"/>
      <c r="BA54" s="65"/>
      <c r="BB54" s="65"/>
      <c r="BC54" s="85"/>
      <c r="BD54" s="163"/>
      <c r="BE54" s="65"/>
      <c r="BF54" s="65"/>
      <c r="BG54" s="65"/>
      <c r="BH54" s="76"/>
      <c r="BI54" s="1"/>
      <c r="BJ54" s="1"/>
      <c r="BK54" s="1"/>
      <c r="BL54" s="1"/>
    </row>
    <row r="55" spans="1:64" ht="19.5" customHeight="1" x14ac:dyDescent="0.25">
      <c r="A55" s="1"/>
      <c r="B55" s="47">
        <f>D57+D59-D58</f>
        <v>0</v>
      </c>
      <c r="C55" s="48"/>
      <c r="D55" s="73" t="str">
        <f>"/"&amp;D57+D59</f>
        <v>/0</v>
      </c>
      <c r="E55" s="63"/>
      <c r="F55" s="69"/>
      <c r="G55" s="47">
        <f>I57+I59-I58</f>
        <v>0</v>
      </c>
      <c r="H55" s="48"/>
      <c r="I55" s="73" t="str">
        <f>"/"&amp;I57+I59</f>
        <v>/0</v>
      </c>
      <c r="J55" s="63"/>
      <c r="K55" s="1"/>
      <c r="L55" s="53"/>
      <c r="M55" s="65"/>
      <c r="N55" s="65"/>
      <c r="O55" s="65"/>
      <c r="P55" s="54"/>
      <c r="Q55" s="88"/>
      <c r="R55" s="65"/>
      <c r="S55" s="54"/>
      <c r="T55" s="88"/>
      <c r="U55" s="54"/>
      <c r="V55" s="88" t="s">
        <v>32</v>
      </c>
      <c r="W55" s="54"/>
      <c r="X55" s="88" t="str">
        <f>"D20"&amp;Tables!Q6&amp;IF(T55+AB55=0,"",IF(T55+AB55&gt;0,"+"&amp;T55+AB55,T55+AB55))&amp;Tables!S6</f>
        <v>D20</v>
      </c>
      <c r="Y55" s="65"/>
      <c r="Z55" s="65"/>
      <c r="AA55" s="54"/>
      <c r="AB55" s="78"/>
      <c r="AC55" s="66"/>
      <c r="AD55" s="2">
        <v>6</v>
      </c>
      <c r="AE55" s="211" t="s">
        <v>194</v>
      </c>
      <c r="AF55" s="174"/>
      <c r="AG55" s="174"/>
      <c r="AH55" s="90"/>
      <c r="AI55" s="217">
        <v>8</v>
      </c>
      <c r="AJ55" s="174"/>
      <c r="AK55" s="90"/>
      <c r="AL55" s="191">
        <v>6</v>
      </c>
      <c r="AM55" s="174"/>
      <c r="AN55" s="56"/>
      <c r="AO55" s="2" t="s">
        <v>195</v>
      </c>
      <c r="AP55" s="55"/>
      <c r="AQ55" s="56"/>
      <c r="AR55" s="12" t="s">
        <v>196</v>
      </c>
      <c r="AS55" s="55"/>
      <c r="AT55" s="56"/>
      <c r="AU55" s="1"/>
      <c r="AV55" s="55"/>
      <c r="AW55" s="56"/>
      <c r="AX55" s="1"/>
      <c r="AY55" s="218"/>
      <c r="AZ55" s="174"/>
      <c r="BA55" s="174"/>
      <c r="BB55" s="174"/>
      <c r="BC55" s="219"/>
      <c r="BD55" s="229"/>
      <c r="BE55" s="174"/>
      <c r="BF55" s="174"/>
      <c r="BG55" s="174"/>
      <c r="BH55" s="56"/>
      <c r="BI55" s="1"/>
      <c r="BJ55" s="1"/>
      <c r="BK55" s="1"/>
      <c r="BL55" s="1"/>
    </row>
    <row r="56" spans="1:64" ht="19.5" customHeight="1" x14ac:dyDescent="0.25">
      <c r="A56" s="1"/>
      <c r="B56" s="49"/>
      <c r="C56" s="50"/>
      <c r="D56" s="50"/>
      <c r="E56" s="74"/>
      <c r="F56" s="69"/>
      <c r="G56" s="49"/>
      <c r="H56" s="50"/>
      <c r="I56" s="50"/>
      <c r="J56" s="74"/>
      <c r="K56" s="1"/>
      <c r="L56" s="79"/>
      <c r="M56" s="65"/>
      <c r="N56" s="65"/>
      <c r="O56" s="65"/>
      <c r="P56" s="54"/>
      <c r="Q56" s="87"/>
      <c r="R56" s="65"/>
      <c r="S56" s="54"/>
      <c r="T56" s="87"/>
      <c r="U56" s="54"/>
      <c r="V56" s="87" t="s">
        <v>32</v>
      </c>
      <c r="W56" s="54"/>
      <c r="X56" s="87" t="str">
        <f>"D20"&amp;Tables!Q7&amp;IF(T56+AB56=0,"",IF(T56+AB56&gt;0,"+"&amp;T56+AB56,T56+AB56))&amp;Tables!S7</f>
        <v>D20</v>
      </c>
      <c r="Y56" s="65"/>
      <c r="Z56" s="65"/>
      <c r="AA56" s="54"/>
      <c r="AB56" s="81"/>
      <c r="AC56" s="66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19.5" customHeight="1" x14ac:dyDescent="0.25">
      <c r="A57" s="1"/>
      <c r="B57" s="53" t="s">
        <v>161</v>
      </c>
      <c r="C57" s="54"/>
      <c r="D57" s="78"/>
      <c r="E57" s="66"/>
      <c r="F57" s="69"/>
      <c r="G57" s="53" t="s">
        <v>161</v>
      </c>
      <c r="H57" s="54"/>
      <c r="I57" s="78"/>
      <c r="J57" s="66"/>
      <c r="K57" s="1"/>
      <c r="L57" s="53"/>
      <c r="M57" s="65"/>
      <c r="N57" s="65"/>
      <c r="O57" s="65"/>
      <c r="P57" s="54"/>
      <c r="Q57" s="88"/>
      <c r="R57" s="65"/>
      <c r="S57" s="54"/>
      <c r="T57" s="88"/>
      <c r="U57" s="54"/>
      <c r="V57" s="88" t="s">
        <v>32</v>
      </c>
      <c r="W57" s="54"/>
      <c r="X57" s="88" t="str">
        <f>"D20"&amp;Tables!Q8&amp;IF(T57+AB57=0,"",IF(T57+AB57&gt;0,"+"&amp;T57+AB57,T57+AB57))&amp;Tables!S8</f>
        <v>D20</v>
      </c>
      <c r="Y57" s="65"/>
      <c r="Z57" s="65"/>
      <c r="AA57" s="54"/>
      <c r="AB57" s="78"/>
      <c r="AC57" s="66"/>
      <c r="AD57" s="1"/>
      <c r="AE57" s="42" t="s">
        <v>197</v>
      </c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4"/>
      <c r="AS57" s="1"/>
      <c r="AT57" s="42" t="s">
        <v>198</v>
      </c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4"/>
      <c r="BI57" s="1"/>
      <c r="BJ57" s="1"/>
      <c r="BK57" s="1"/>
      <c r="BL57" s="1"/>
    </row>
    <row r="58" spans="1:64" ht="19.5" customHeight="1" x14ac:dyDescent="0.25">
      <c r="A58" s="1"/>
      <c r="B58" s="79" t="s">
        <v>51</v>
      </c>
      <c r="C58" s="54"/>
      <c r="D58" s="81"/>
      <c r="E58" s="66"/>
      <c r="F58" s="69"/>
      <c r="G58" s="79" t="s">
        <v>51</v>
      </c>
      <c r="H58" s="54"/>
      <c r="I58" s="81"/>
      <c r="J58" s="66"/>
      <c r="K58" s="1"/>
      <c r="L58" s="79"/>
      <c r="M58" s="65"/>
      <c r="N58" s="65"/>
      <c r="O58" s="65"/>
      <c r="P58" s="54"/>
      <c r="Q58" s="87"/>
      <c r="R58" s="65"/>
      <c r="S58" s="54"/>
      <c r="T58" s="87"/>
      <c r="U58" s="54"/>
      <c r="V58" s="87" t="s">
        <v>32</v>
      </c>
      <c r="W58" s="54"/>
      <c r="X58" s="87" t="str">
        <f>"D20"&amp;Tables!Q9&amp;IF(T58+AB58=0,"",IF(T58+AB58&gt;0,"+"&amp;T58+AB58,T58+AB58))&amp;Tables!S9</f>
        <v>D20</v>
      </c>
      <c r="Y58" s="65"/>
      <c r="Z58" s="65"/>
      <c r="AA58" s="54"/>
      <c r="AB58" s="81"/>
      <c r="AC58" s="66"/>
      <c r="AD58" s="1"/>
      <c r="AE58" s="116" t="str">
        <f>"Your capacity is "&amp;SUM(R4:W4)*2&amp;" slots; "&amp;SUM(R4:W4)*2-SUM(AP60:AR73)&amp;" slots remaining"</f>
        <v>Your capacity is 0 slots; 0 slots remaining</v>
      </c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6"/>
      <c r="AS58" s="1"/>
      <c r="AT58" s="116" t="str">
        <f>VLOOKUP(AE31,AE49:AO55,11,FALSE)</f>
        <v>Poor — only ~20 suleys, or even penniless.</v>
      </c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6"/>
      <c r="BI58" s="13">
        <f>IF(SUM(R4:W4)*2-SUM(AP60:AR73)&lt;=0,SUM(R4:W4)*2-SUM(AP60:AR73),0)</f>
        <v>0</v>
      </c>
      <c r="BJ58" s="1"/>
      <c r="BK58" s="1"/>
      <c r="BL58" s="1"/>
    </row>
    <row r="59" spans="1:64" ht="19.5" customHeight="1" x14ac:dyDescent="0.25">
      <c r="A59" s="1"/>
      <c r="B59" s="89" t="s">
        <v>46</v>
      </c>
      <c r="C59" s="90"/>
      <c r="D59" s="82"/>
      <c r="E59" s="83"/>
      <c r="F59" s="70"/>
      <c r="G59" s="89" t="s">
        <v>46</v>
      </c>
      <c r="H59" s="90"/>
      <c r="I59" s="82"/>
      <c r="J59" s="83"/>
      <c r="K59" s="1"/>
      <c r="L59" s="53"/>
      <c r="M59" s="65"/>
      <c r="N59" s="65"/>
      <c r="O59" s="65"/>
      <c r="P59" s="54"/>
      <c r="Q59" s="88"/>
      <c r="R59" s="65"/>
      <c r="S59" s="54"/>
      <c r="T59" s="88"/>
      <c r="U59" s="54"/>
      <c r="V59" s="88" t="s">
        <v>32</v>
      </c>
      <c r="W59" s="54"/>
      <c r="X59" s="88" t="str">
        <f>"D20"&amp;Tables!Q10&amp;IF(T59+AB59=0,"",IF(T59+AB59&gt;0,"+"&amp;T59+AB59,T59+AB59))&amp;Tables!S10</f>
        <v>D20</v>
      </c>
      <c r="Y59" s="65"/>
      <c r="Z59" s="65"/>
      <c r="AA59" s="54"/>
      <c r="AB59" s="78"/>
      <c r="AC59" s="66"/>
      <c r="AD59" s="1"/>
      <c r="AE59" s="118" t="s">
        <v>199</v>
      </c>
      <c r="AF59" s="54"/>
      <c r="AG59" s="110" t="s">
        <v>200</v>
      </c>
      <c r="AH59" s="65"/>
      <c r="AI59" s="65"/>
      <c r="AJ59" s="65"/>
      <c r="AK59" s="65"/>
      <c r="AL59" s="65"/>
      <c r="AM59" s="65"/>
      <c r="AN59" s="65"/>
      <c r="AO59" s="54"/>
      <c r="AP59" s="175" t="s">
        <v>201</v>
      </c>
      <c r="AQ59" s="65"/>
      <c r="AR59" s="66"/>
      <c r="AS59" s="1"/>
      <c r="AT59" s="93" t="s">
        <v>202</v>
      </c>
      <c r="AU59" s="96"/>
      <c r="AV59" s="96"/>
      <c r="AW59" s="96"/>
      <c r="AX59" s="46"/>
      <c r="AY59" s="97"/>
      <c r="AZ59" s="96"/>
      <c r="BA59" s="96"/>
      <c r="BB59" s="96"/>
      <c r="BC59" s="96"/>
      <c r="BD59" s="96"/>
      <c r="BE59" s="96"/>
      <c r="BF59" s="96"/>
      <c r="BG59" s="96"/>
      <c r="BH59" s="98"/>
      <c r="BI59" s="1"/>
      <c r="BJ59" s="1"/>
      <c r="BK59" s="1"/>
      <c r="BL59" s="1"/>
    </row>
    <row r="60" spans="1:64" ht="19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79"/>
      <c r="M60" s="65"/>
      <c r="N60" s="65"/>
      <c r="O60" s="65"/>
      <c r="P60" s="54"/>
      <c r="Q60" s="87"/>
      <c r="R60" s="65"/>
      <c r="S60" s="54"/>
      <c r="T60" s="87"/>
      <c r="U60" s="54"/>
      <c r="V60" s="87" t="s">
        <v>32</v>
      </c>
      <c r="W60" s="54"/>
      <c r="X60" s="87" t="str">
        <f>"D20"&amp;Tables!Q11&amp;IF(T60+AB60=0,"",IF(T60+AB60&gt;0,"+"&amp;T60+AB60,T60+AB60))&amp;Tables!S11</f>
        <v>D20</v>
      </c>
      <c r="Y60" s="65"/>
      <c r="Z60" s="65"/>
      <c r="AA60" s="54"/>
      <c r="AB60" s="81"/>
      <c r="AC60" s="66"/>
      <c r="AD60" s="1"/>
      <c r="AE60" s="53"/>
      <c r="AF60" s="54"/>
      <c r="AG60" s="88"/>
      <c r="AH60" s="65"/>
      <c r="AI60" s="65"/>
      <c r="AJ60" s="65"/>
      <c r="AK60" s="65"/>
      <c r="AL60" s="65"/>
      <c r="AM60" s="65"/>
      <c r="AN60" s="65"/>
      <c r="AO60" s="54"/>
      <c r="AP60" s="64"/>
      <c r="AQ60" s="65"/>
      <c r="AR60" s="66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36" customHeight="1" x14ac:dyDescent="0.25">
      <c r="A61" s="1"/>
      <c r="B61" s="58" t="s">
        <v>134</v>
      </c>
      <c r="C61" s="43"/>
      <c r="D61" s="43"/>
      <c r="E61" s="44"/>
      <c r="F61" s="68" t="s">
        <v>135</v>
      </c>
      <c r="G61" s="58" t="s">
        <v>134</v>
      </c>
      <c r="H61" s="43"/>
      <c r="I61" s="43"/>
      <c r="J61" s="44"/>
      <c r="K61" s="1"/>
      <c r="L61" s="53"/>
      <c r="M61" s="65"/>
      <c r="N61" s="65"/>
      <c r="O61" s="65"/>
      <c r="P61" s="54"/>
      <c r="Q61" s="88"/>
      <c r="R61" s="65"/>
      <c r="S61" s="54"/>
      <c r="T61" s="88"/>
      <c r="U61" s="54"/>
      <c r="V61" s="88" t="s">
        <v>32</v>
      </c>
      <c r="W61" s="54"/>
      <c r="X61" s="88" t="str">
        <f>"D20"&amp;Tables!Q12&amp;IF(T61+AB61=0,"",IF(T61+AB61&gt;0,"+"&amp;T61+AB61,T61+AB61))&amp;Tables!S12</f>
        <v>D20</v>
      </c>
      <c r="Y61" s="65"/>
      <c r="Z61" s="65"/>
      <c r="AA61" s="54"/>
      <c r="AB61" s="78"/>
      <c r="AC61" s="66"/>
      <c r="AD61" s="1"/>
      <c r="AE61" s="79"/>
      <c r="AF61" s="54"/>
      <c r="AG61" s="87"/>
      <c r="AH61" s="65"/>
      <c r="AI61" s="65"/>
      <c r="AJ61" s="65"/>
      <c r="AK61" s="65"/>
      <c r="AL61" s="65"/>
      <c r="AM61" s="65"/>
      <c r="AN61" s="65"/>
      <c r="AO61" s="54"/>
      <c r="AP61" s="81"/>
      <c r="AQ61" s="65"/>
      <c r="AR61" s="66"/>
      <c r="AS61" s="1"/>
      <c r="AT61" s="42" t="s">
        <v>204</v>
      </c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4"/>
      <c r="BI61" s="1"/>
      <c r="BJ61" s="1"/>
      <c r="BK61" s="1"/>
      <c r="BL61" s="1"/>
    </row>
    <row r="62" spans="1:64" ht="19.5" customHeight="1" x14ac:dyDescent="0.25">
      <c r="A62" s="1"/>
      <c r="B62" s="47">
        <f>D64+D66-D65</f>
        <v>0</v>
      </c>
      <c r="C62" s="48"/>
      <c r="D62" s="73" t="str">
        <f>"/"&amp;D64+D66</f>
        <v>/0</v>
      </c>
      <c r="E62" s="63"/>
      <c r="F62" s="69"/>
      <c r="G62" s="47">
        <f>I64+I66-I65</f>
        <v>0</v>
      </c>
      <c r="H62" s="48"/>
      <c r="I62" s="73" t="str">
        <f>"/"&amp;I64+I66</f>
        <v>/0</v>
      </c>
      <c r="J62" s="63"/>
      <c r="K62" s="1"/>
      <c r="L62" s="79"/>
      <c r="M62" s="65"/>
      <c r="N62" s="65"/>
      <c r="O62" s="65"/>
      <c r="P62" s="54"/>
      <c r="Q62" s="87"/>
      <c r="R62" s="65"/>
      <c r="S62" s="54"/>
      <c r="T62" s="87"/>
      <c r="U62" s="54"/>
      <c r="V62" s="87" t="s">
        <v>32</v>
      </c>
      <c r="W62" s="54"/>
      <c r="X62" s="87" t="str">
        <f>"D20"&amp;Tables!Q13&amp;IF(T62+AB62=0,"",IF(T62+AB62&gt;0,"+"&amp;T62+AB62,T62+AB62))&amp;Tables!S13</f>
        <v>D20</v>
      </c>
      <c r="Y62" s="65"/>
      <c r="Z62" s="65"/>
      <c r="AA62" s="54"/>
      <c r="AB62" s="81"/>
      <c r="AC62" s="66"/>
      <c r="AD62" s="1"/>
      <c r="AE62" s="53"/>
      <c r="AF62" s="54"/>
      <c r="AG62" s="88"/>
      <c r="AH62" s="65"/>
      <c r="AI62" s="65"/>
      <c r="AJ62" s="65"/>
      <c r="AK62" s="65"/>
      <c r="AL62" s="65"/>
      <c r="AM62" s="65"/>
      <c r="AN62" s="65"/>
      <c r="AO62" s="54"/>
      <c r="AP62" s="78"/>
      <c r="AQ62" s="65"/>
      <c r="AR62" s="66"/>
      <c r="AS62" s="1"/>
      <c r="AT62" s="178" t="s">
        <v>205</v>
      </c>
      <c r="AU62" s="65"/>
      <c r="AV62" s="65"/>
      <c r="AW62" s="65"/>
      <c r="AX62" s="54"/>
      <c r="AY62" s="164"/>
      <c r="AZ62" s="65"/>
      <c r="BA62" s="65"/>
      <c r="BB62" s="54"/>
      <c r="BC62" s="130"/>
      <c r="BD62" s="65"/>
      <c r="BE62" s="54"/>
      <c r="BF62" s="225"/>
      <c r="BG62" s="65"/>
      <c r="BH62" s="66"/>
      <c r="BI62" s="1"/>
      <c r="BJ62" s="1"/>
      <c r="BK62" s="1"/>
      <c r="BL62" s="1"/>
    </row>
    <row r="63" spans="1:64" ht="19.5" customHeight="1" x14ac:dyDescent="0.25">
      <c r="A63" s="1"/>
      <c r="B63" s="49"/>
      <c r="C63" s="50"/>
      <c r="D63" s="50"/>
      <c r="E63" s="74"/>
      <c r="F63" s="69"/>
      <c r="G63" s="49"/>
      <c r="H63" s="50"/>
      <c r="I63" s="50"/>
      <c r="J63" s="74"/>
      <c r="K63" s="1"/>
      <c r="L63" s="53"/>
      <c r="M63" s="65"/>
      <c r="N63" s="65"/>
      <c r="O63" s="65"/>
      <c r="P63" s="54"/>
      <c r="Q63" s="88"/>
      <c r="R63" s="65"/>
      <c r="S63" s="54"/>
      <c r="T63" s="88"/>
      <c r="U63" s="54"/>
      <c r="V63" s="88" t="s">
        <v>32</v>
      </c>
      <c r="W63" s="54"/>
      <c r="X63" s="88" t="str">
        <f>"D20"&amp;Tables!Q14&amp;IF(T63+AB63=0,"",IF(T63+AB63&gt;0,"+"&amp;T63+AB63,T63+AB63))&amp;Tables!S14</f>
        <v>D20</v>
      </c>
      <c r="Y63" s="65"/>
      <c r="Z63" s="65"/>
      <c r="AA63" s="54"/>
      <c r="AB63" s="78"/>
      <c r="AC63" s="66"/>
      <c r="AD63" s="1"/>
      <c r="AE63" s="79"/>
      <c r="AF63" s="54"/>
      <c r="AG63" s="87"/>
      <c r="AH63" s="65"/>
      <c r="AI63" s="65"/>
      <c r="AJ63" s="65"/>
      <c r="AK63" s="65"/>
      <c r="AL63" s="65"/>
      <c r="AM63" s="65"/>
      <c r="AN63" s="65"/>
      <c r="AO63" s="54"/>
      <c r="AP63" s="81"/>
      <c r="AQ63" s="65"/>
      <c r="AR63" s="66"/>
      <c r="AS63" s="1"/>
      <c r="AT63" s="113" t="s">
        <v>206</v>
      </c>
      <c r="AU63" s="65"/>
      <c r="AV63" s="65"/>
      <c r="AW63" s="65"/>
      <c r="AX63" s="54"/>
      <c r="AY63" s="226"/>
      <c r="AZ63" s="65"/>
      <c r="BA63" s="65"/>
      <c r="BB63" s="54"/>
      <c r="BC63" s="95"/>
      <c r="BD63" s="65"/>
      <c r="BE63" s="54"/>
      <c r="BF63" s="190"/>
      <c r="BG63" s="65"/>
      <c r="BH63" s="66"/>
      <c r="BI63" s="1"/>
      <c r="BJ63" s="1"/>
      <c r="BK63" s="1"/>
      <c r="BL63" s="1"/>
    </row>
    <row r="64" spans="1:64" ht="19.5" customHeight="1" x14ac:dyDescent="0.25">
      <c r="A64" s="1"/>
      <c r="B64" s="53" t="s">
        <v>161</v>
      </c>
      <c r="C64" s="54"/>
      <c r="D64" s="78"/>
      <c r="E64" s="66"/>
      <c r="F64" s="69"/>
      <c r="G64" s="53" t="s">
        <v>161</v>
      </c>
      <c r="H64" s="54"/>
      <c r="I64" s="78"/>
      <c r="J64" s="66"/>
      <c r="K64" s="1"/>
      <c r="L64" s="79"/>
      <c r="M64" s="65"/>
      <c r="N64" s="65"/>
      <c r="O64" s="65"/>
      <c r="P64" s="54"/>
      <c r="Q64" s="87"/>
      <c r="R64" s="65"/>
      <c r="S64" s="54"/>
      <c r="T64" s="87"/>
      <c r="U64" s="54"/>
      <c r="V64" s="87" t="s">
        <v>32</v>
      </c>
      <c r="W64" s="54"/>
      <c r="X64" s="87" t="str">
        <f>"D20"&amp;Tables!Q15&amp;IF(T64+AB64=0,"",IF(T64+AB64&gt;0,"+"&amp;T64+AB64,T64+AB64))&amp;Tables!S15</f>
        <v>D20</v>
      </c>
      <c r="Y64" s="65"/>
      <c r="Z64" s="65"/>
      <c r="AA64" s="54"/>
      <c r="AB64" s="81"/>
      <c r="AC64" s="66"/>
      <c r="AD64" s="1"/>
      <c r="AE64" s="53"/>
      <c r="AF64" s="54"/>
      <c r="AG64" s="88"/>
      <c r="AH64" s="65"/>
      <c r="AI64" s="65"/>
      <c r="AJ64" s="65"/>
      <c r="AK64" s="65"/>
      <c r="AL64" s="65"/>
      <c r="AM64" s="65"/>
      <c r="AN64" s="65"/>
      <c r="AO64" s="54"/>
      <c r="AP64" s="78"/>
      <c r="AQ64" s="65"/>
      <c r="AR64" s="66"/>
      <c r="AS64" s="1"/>
      <c r="AT64" s="178" t="s">
        <v>207</v>
      </c>
      <c r="AU64" s="65"/>
      <c r="AV64" s="65"/>
      <c r="AW64" s="65"/>
      <c r="AX64" s="54"/>
      <c r="AY64" s="164">
        <f>AY62+AY63</f>
        <v>0</v>
      </c>
      <c r="AZ64" s="65"/>
      <c r="BA64" s="65"/>
      <c r="BB64" s="54"/>
      <c r="BC64" s="130">
        <f>BC62+BC63</f>
        <v>0</v>
      </c>
      <c r="BD64" s="65"/>
      <c r="BE64" s="54"/>
      <c r="BF64" s="225">
        <f>BF62+BF63</f>
        <v>0</v>
      </c>
      <c r="BG64" s="65"/>
      <c r="BH64" s="66"/>
      <c r="BI64" s="1"/>
      <c r="BJ64" s="1"/>
      <c r="BK64" s="1"/>
      <c r="BL64" s="1"/>
    </row>
    <row r="65" spans="1:64" ht="19.5" customHeight="1" x14ac:dyDescent="0.25">
      <c r="A65" s="1"/>
      <c r="B65" s="79" t="s">
        <v>51</v>
      </c>
      <c r="C65" s="54"/>
      <c r="D65" s="81"/>
      <c r="E65" s="66"/>
      <c r="F65" s="69"/>
      <c r="G65" s="79" t="s">
        <v>51</v>
      </c>
      <c r="H65" s="54"/>
      <c r="I65" s="81"/>
      <c r="J65" s="66"/>
      <c r="K65" s="1"/>
      <c r="L65" s="53"/>
      <c r="M65" s="65"/>
      <c r="N65" s="65"/>
      <c r="O65" s="65"/>
      <c r="P65" s="54"/>
      <c r="Q65" s="88"/>
      <c r="R65" s="65"/>
      <c r="S65" s="54"/>
      <c r="T65" s="88"/>
      <c r="U65" s="54"/>
      <c r="V65" s="88" t="s">
        <v>32</v>
      </c>
      <c r="W65" s="54"/>
      <c r="X65" s="88" t="str">
        <f>"D20"&amp;Tables!Q16&amp;IF(T65+AB65=0,"",IF(T65+AB65&gt;0,"+"&amp;T65+AB65,T65+AB65))&amp;Tables!S16</f>
        <v>D20</v>
      </c>
      <c r="Y65" s="65"/>
      <c r="Z65" s="65"/>
      <c r="AA65" s="54"/>
      <c r="AB65" s="78"/>
      <c r="AC65" s="66"/>
      <c r="AD65" s="1"/>
      <c r="AE65" s="79"/>
      <c r="AF65" s="54"/>
      <c r="AG65" s="87"/>
      <c r="AH65" s="65"/>
      <c r="AI65" s="65"/>
      <c r="AJ65" s="65"/>
      <c r="AK65" s="65"/>
      <c r="AL65" s="65"/>
      <c r="AM65" s="65"/>
      <c r="AN65" s="65"/>
      <c r="AO65" s="54"/>
      <c r="AP65" s="81"/>
      <c r="AQ65" s="65"/>
      <c r="AR65" s="66"/>
      <c r="AS65" s="1"/>
      <c r="AT65" s="113" t="s">
        <v>24</v>
      </c>
      <c r="AU65" s="65"/>
      <c r="AV65" s="54"/>
      <c r="AW65" s="78" t="str">
        <f>IF(E6=0,"",E6)</f>
        <v/>
      </c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6"/>
      <c r="BI65" s="1"/>
      <c r="BJ65" s="1"/>
      <c r="BK65" s="1"/>
      <c r="BL65" s="1"/>
    </row>
    <row r="66" spans="1:64" ht="19.5" customHeight="1" x14ac:dyDescent="0.25">
      <c r="A66" s="1"/>
      <c r="B66" s="89" t="s">
        <v>46</v>
      </c>
      <c r="C66" s="90"/>
      <c r="D66" s="82"/>
      <c r="E66" s="83"/>
      <c r="F66" s="70"/>
      <c r="G66" s="89" t="s">
        <v>46</v>
      </c>
      <c r="H66" s="90"/>
      <c r="I66" s="82"/>
      <c r="J66" s="83"/>
      <c r="K66" s="1"/>
      <c r="L66" s="79"/>
      <c r="M66" s="65"/>
      <c r="N66" s="65"/>
      <c r="O66" s="65"/>
      <c r="P66" s="54"/>
      <c r="Q66" s="87"/>
      <c r="R66" s="65"/>
      <c r="S66" s="54"/>
      <c r="T66" s="87"/>
      <c r="U66" s="54"/>
      <c r="V66" s="87" t="s">
        <v>32</v>
      </c>
      <c r="W66" s="54"/>
      <c r="X66" s="87" t="str">
        <f>"D20"&amp;Tables!Q17&amp;IF(T66+AB66=0,"",IF(T66+AB66&gt;0,"+"&amp;T66+AB66,T66+AB66))&amp;Tables!S17</f>
        <v>D20</v>
      </c>
      <c r="Y66" s="65"/>
      <c r="Z66" s="65"/>
      <c r="AA66" s="54"/>
      <c r="AB66" s="81"/>
      <c r="AC66" s="66"/>
      <c r="AD66" s="1"/>
      <c r="AE66" s="53"/>
      <c r="AF66" s="54"/>
      <c r="AG66" s="88"/>
      <c r="AH66" s="65"/>
      <c r="AI66" s="65"/>
      <c r="AJ66" s="65"/>
      <c r="AK66" s="65"/>
      <c r="AL66" s="65"/>
      <c r="AM66" s="65"/>
      <c r="AN66" s="65"/>
      <c r="AO66" s="54"/>
      <c r="AP66" s="78"/>
      <c r="AQ66" s="65"/>
      <c r="AR66" s="66"/>
      <c r="AS66" s="1"/>
      <c r="AT66" s="178" t="s">
        <v>208</v>
      </c>
      <c r="AU66" s="65"/>
      <c r="AV66" s="54"/>
      <c r="AW66" s="87" t="s">
        <v>209</v>
      </c>
      <c r="AX66" s="65"/>
      <c r="AY66" s="54"/>
      <c r="AZ66" s="135" t="s">
        <v>210</v>
      </c>
      <c r="BA66" s="65"/>
      <c r="BB66" s="54"/>
      <c r="BC66" s="81" t="str">
        <f>IF(AE31="","",VLOOKUP(AE31,Tables!A25:H31,8,FALSE))</f>
        <v>None or minimal</v>
      </c>
      <c r="BD66" s="65"/>
      <c r="BE66" s="65"/>
      <c r="BF66" s="65"/>
      <c r="BG66" s="65"/>
      <c r="BH66" s="66"/>
      <c r="BI66" s="1"/>
      <c r="BJ66" s="1"/>
      <c r="BK66" s="1"/>
      <c r="BL66" s="1"/>
    </row>
    <row r="67" spans="1:64" ht="19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3"/>
      <c r="M67" s="65"/>
      <c r="N67" s="65"/>
      <c r="O67" s="65"/>
      <c r="P67" s="54"/>
      <c r="Q67" s="88"/>
      <c r="R67" s="65"/>
      <c r="S67" s="54"/>
      <c r="T67" s="88"/>
      <c r="U67" s="54"/>
      <c r="V67" s="88" t="s">
        <v>32</v>
      </c>
      <c r="W67" s="54"/>
      <c r="X67" s="88" t="str">
        <f>"D20"&amp;Tables!Q18&amp;IF(T67+AB67=0,"",IF(T67+AB67&gt;0,"+"&amp;T67+AB67,T67+AB67))&amp;Tables!S18</f>
        <v>D20</v>
      </c>
      <c r="Y67" s="65"/>
      <c r="Z67" s="65"/>
      <c r="AA67" s="54"/>
      <c r="AB67" s="78"/>
      <c r="AC67" s="66"/>
      <c r="AD67" s="1"/>
      <c r="AE67" s="79"/>
      <c r="AF67" s="54"/>
      <c r="AG67" s="87"/>
      <c r="AH67" s="65"/>
      <c r="AI67" s="65"/>
      <c r="AJ67" s="65"/>
      <c r="AK67" s="65"/>
      <c r="AL67" s="65"/>
      <c r="AM67" s="65"/>
      <c r="AN67" s="65"/>
      <c r="AO67" s="54"/>
      <c r="AP67" s="81"/>
      <c r="AQ67" s="65"/>
      <c r="AR67" s="66"/>
      <c r="AS67" s="1"/>
      <c r="AT67" s="113" t="s">
        <v>211</v>
      </c>
      <c r="AU67" s="65"/>
      <c r="AV67" s="54"/>
      <c r="AW67" s="78" t="str">
        <f>IF(AE31="","",VLOOKUP(AE31,Tables!A25:H31,6,FALSE))</f>
        <v>No fixed home / makeshift lodging</v>
      </c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6"/>
      <c r="BI67" s="1"/>
      <c r="BJ67" s="1"/>
      <c r="BK67" s="1"/>
      <c r="BL67" s="1"/>
    </row>
    <row r="68" spans="1:64" ht="38.25" customHeight="1" x14ac:dyDescent="0.25">
      <c r="A68" s="1"/>
      <c r="B68" s="58" t="s">
        <v>134</v>
      </c>
      <c r="C68" s="43"/>
      <c r="D68" s="43"/>
      <c r="E68" s="44"/>
      <c r="F68" s="68" t="s">
        <v>135</v>
      </c>
      <c r="G68" s="58" t="s">
        <v>134</v>
      </c>
      <c r="H68" s="43"/>
      <c r="I68" s="43"/>
      <c r="J68" s="44"/>
      <c r="K68" s="1"/>
      <c r="L68" s="79"/>
      <c r="M68" s="65"/>
      <c r="N68" s="65"/>
      <c r="O68" s="65"/>
      <c r="P68" s="54"/>
      <c r="Q68" s="87"/>
      <c r="R68" s="65"/>
      <c r="S68" s="54"/>
      <c r="T68" s="87"/>
      <c r="U68" s="54"/>
      <c r="V68" s="87" t="s">
        <v>32</v>
      </c>
      <c r="W68" s="54"/>
      <c r="X68" s="87" t="str">
        <f>"D20"&amp;Tables!Q19&amp;IF(T68+AB68=0,"",IF(T68+AB68&gt;0,"+"&amp;T68+AB68,T68+AB68))&amp;Tables!S19</f>
        <v>D20</v>
      </c>
      <c r="Y68" s="65"/>
      <c r="Z68" s="65"/>
      <c r="AA68" s="54"/>
      <c r="AB68" s="81"/>
      <c r="AC68" s="66"/>
      <c r="AD68" s="1"/>
      <c r="AE68" s="53"/>
      <c r="AF68" s="54"/>
      <c r="AG68" s="88"/>
      <c r="AH68" s="65"/>
      <c r="AI68" s="65"/>
      <c r="AJ68" s="65"/>
      <c r="AK68" s="65"/>
      <c r="AL68" s="65"/>
      <c r="AM68" s="65"/>
      <c r="AN68" s="65"/>
      <c r="AO68" s="54"/>
      <c r="AP68" s="78"/>
      <c r="AQ68" s="65"/>
      <c r="AR68" s="66"/>
      <c r="AS68" s="1"/>
      <c r="AT68" s="178" t="s">
        <v>212</v>
      </c>
      <c r="AU68" s="65"/>
      <c r="AV68" s="54"/>
      <c r="AW68" s="81" t="str">
        <f>IF(AE31="","",VLOOKUP(AE31,Tables!A25:H31,7,FALSE))</f>
        <v>None</v>
      </c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6"/>
      <c r="BI68" s="1"/>
      <c r="BJ68" s="1"/>
      <c r="BK68" s="1"/>
      <c r="BL68" s="1"/>
    </row>
    <row r="69" spans="1:64" ht="19.5" customHeight="1" x14ac:dyDescent="0.25">
      <c r="A69" s="1"/>
      <c r="B69" s="47">
        <f>D71+D73-D72</f>
        <v>0</v>
      </c>
      <c r="C69" s="48"/>
      <c r="D69" s="73" t="str">
        <f>"/"&amp;D71+D73</f>
        <v>/0</v>
      </c>
      <c r="E69" s="63"/>
      <c r="F69" s="69"/>
      <c r="G69" s="47">
        <f>I71+I73-I72</f>
        <v>0</v>
      </c>
      <c r="H69" s="48"/>
      <c r="I69" s="73" t="str">
        <f>"/"&amp;I71+I73</f>
        <v>/0</v>
      </c>
      <c r="J69" s="63"/>
      <c r="K69" s="1"/>
      <c r="L69" s="53"/>
      <c r="M69" s="65"/>
      <c r="N69" s="65"/>
      <c r="O69" s="65"/>
      <c r="P69" s="54"/>
      <c r="Q69" s="88"/>
      <c r="R69" s="65"/>
      <c r="S69" s="54"/>
      <c r="T69" s="88"/>
      <c r="U69" s="54"/>
      <c r="V69" s="88" t="s">
        <v>32</v>
      </c>
      <c r="W69" s="54"/>
      <c r="X69" s="88" t="str">
        <f>"D20"&amp;Tables!Q20&amp;IF(T69+AB69=0,"",IF(T69+AB69&gt;0,"+"&amp;T69+AB69,T69+AB69))&amp;Tables!S20</f>
        <v>D20</v>
      </c>
      <c r="Y69" s="65"/>
      <c r="Z69" s="65"/>
      <c r="AA69" s="54"/>
      <c r="AB69" s="78"/>
      <c r="AC69" s="66"/>
      <c r="AD69" s="1"/>
      <c r="AE69" s="79"/>
      <c r="AF69" s="54"/>
      <c r="AG69" s="87"/>
      <c r="AH69" s="65"/>
      <c r="AI69" s="65"/>
      <c r="AJ69" s="65"/>
      <c r="AK69" s="65"/>
      <c r="AL69" s="65"/>
      <c r="AM69" s="65"/>
      <c r="AN69" s="65"/>
      <c r="AO69" s="54"/>
      <c r="AP69" s="81"/>
      <c r="AQ69" s="65"/>
      <c r="AR69" s="66"/>
      <c r="AS69" s="1"/>
      <c r="AT69" s="206" t="str">
        <f>IF(AE31="","",VLOOKUP(AE31,Tables!A25:H31,5,FALSE))</f>
        <v>Roll: 20 + 1d20 + 1d20</v>
      </c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63"/>
      <c r="BI69" s="1"/>
      <c r="BJ69" s="1"/>
      <c r="BK69" s="1"/>
      <c r="BL69" s="1"/>
    </row>
    <row r="70" spans="1:64" ht="19.5" customHeight="1" x14ac:dyDescent="0.25">
      <c r="A70" s="1"/>
      <c r="B70" s="49"/>
      <c r="C70" s="50"/>
      <c r="D70" s="50"/>
      <c r="E70" s="74"/>
      <c r="F70" s="69"/>
      <c r="G70" s="49"/>
      <c r="H70" s="50"/>
      <c r="I70" s="50"/>
      <c r="J70" s="74"/>
      <c r="K70" s="1"/>
      <c r="L70" s="79"/>
      <c r="M70" s="65"/>
      <c r="N70" s="65"/>
      <c r="O70" s="65"/>
      <c r="P70" s="54"/>
      <c r="Q70" s="87"/>
      <c r="R70" s="65"/>
      <c r="S70" s="54"/>
      <c r="T70" s="87"/>
      <c r="U70" s="54"/>
      <c r="V70" s="87" t="s">
        <v>32</v>
      </c>
      <c r="W70" s="54"/>
      <c r="X70" s="87" t="str">
        <f>"D20"&amp;Tables!Q21&amp;IF(T70+AB70=0,"",IF(T70+AB70&gt;0,"+"&amp;T70+AB70,T70+AB70))&amp;Tables!S21</f>
        <v>D20</v>
      </c>
      <c r="Y70" s="65"/>
      <c r="Z70" s="65"/>
      <c r="AA70" s="54"/>
      <c r="AB70" s="81"/>
      <c r="AC70" s="66"/>
      <c r="AD70" s="1"/>
      <c r="AE70" s="53"/>
      <c r="AF70" s="54"/>
      <c r="AG70" s="88"/>
      <c r="AH70" s="65"/>
      <c r="AI70" s="65"/>
      <c r="AJ70" s="65"/>
      <c r="AK70" s="65"/>
      <c r="AL70" s="65"/>
      <c r="AM70" s="65"/>
      <c r="AN70" s="65"/>
      <c r="AO70" s="54"/>
      <c r="AP70" s="78"/>
      <c r="AQ70" s="65"/>
      <c r="AR70" s="66"/>
      <c r="AS70" s="1"/>
      <c r="AT70" s="146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147"/>
      <c r="BI70" s="1"/>
      <c r="BJ70" s="1"/>
      <c r="BK70" s="1"/>
      <c r="BL70" s="1"/>
    </row>
    <row r="71" spans="1:64" ht="19.5" customHeight="1" x14ac:dyDescent="0.25">
      <c r="A71" s="1"/>
      <c r="B71" s="53" t="s">
        <v>161</v>
      </c>
      <c r="C71" s="54"/>
      <c r="D71" s="78"/>
      <c r="E71" s="66"/>
      <c r="F71" s="69"/>
      <c r="G71" s="53" t="s">
        <v>161</v>
      </c>
      <c r="H71" s="54"/>
      <c r="I71" s="78"/>
      <c r="J71" s="66"/>
      <c r="K71" s="1"/>
      <c r="L71" s="53"/>
      <c r="M71" s="65"/>
      <c r="N71" s="65"/>
      <c r="O71" s="65"/>
      <c r="P71" s="54"/>
      <c r="Q71" s="88"/>
      <c r="R71" s="65"/>
      <c r="S71" s="54"/>
      <c r="T71" s="88"/>
      <c r="U71" s="54"/>
      <c r="V71" s="88" t="s">
        <v>32</v>
      </c>
      <c r="W71" s="54"/>
      <c r="X71" s="88" t="str">
        <f>"D20"&amp;Tables!Q22&amp;IF(T71+AB71=0,"",IF(T71+AB71&gt;0,"+"&amp;T71+AB71,T71+AB71))&amp;Tables!S22</f>
        <v>D20</v>
      </c>
      <c r="Y71" s="65"/>
      <c r="Z71" s="65"/>
      <c r="AA71" s="54"/>
      <c r="AB71" s="78"/>
      <c r="AC71" s="66"/>
      <c r="AD71" s="1"/>
      <c r="AE71" s="79"/>
      <c r="AF71" s="54"/>
      <c r="AG71" s="87"/>
      <c r="AH71" s="65"/>
      <c r="AI71" s="65"/>
      <c r="AJ71" s="65"/>
      <c r="AK71" s="65"/>
      <c r="AL71" s="65"/>
      <c r="AM71" s="65"/>
      <c r="AN71" s="65"/>
      <c r="AO71" s="54"/>
      <c r="AP71" s="81"/>
      <c r="AQ71" s="65"/>
      <c r="AR71" s="66"/>
      <c r="AS71" s="1"/>
      <c r="AT71" s="146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147"/>
      <c r="BI71" s="1"/>
      <c r="BJ71" s="1"/>
      <c r="BK71" s="1"/>
      <c r="BL71" s="1"/>
    </row>
    <row r="72" spans="1:64" ht="19.5" customHeight="1" x14ac:dyDescent="0.25">
      <c r="A72" s="1"/>
      <c r="B72" s="79" t="s">
        <v>51</v>
      </c>
      <c r="C72" s="54"/>
      <c r="D72" s="81"/>
      <c r="E72" s="66"/>
      <c r="F72" s="69"/>
      <c r="G72" s="79" t="s">
        <v>51</v>
      </c>
      <c r="H72" s="54"/>
      <c r="I72" s="81"/>
      <c r="J72" s="66"/>
      <c r="K72" s="1"/>
      <c r="L72" s="79"/>
      <c r="M72" s="65"/>
      <c r="N72" s="65"/>
      <c r="O72" s="65"/>
      <c r="P72" s="54"/>
      <c r="Q72" s="87"/>
      <c r="R72" s="65"/>
      <c r="S72" s="54"/>
      <c r="T72" s="87"/>
      <c r="U72" s="54"/>
      <c r="V72" s="87" t="s">
        <v>32</v>
      </c>
      <c r="W72" s="54"/>
      <c r="X72" s="87" t="str">
        <f>"D20"&amp;Tables!Q23&amp;IF(T72+AB72=0,"",IF(T72+AB72&gt;0,"+"&amp;T72+AB72,T72+AB72))&amp;Tables!S23</f>
        <v>D20</v>
      </c>
      <c r="Y72" s="65"/>
      <c r="Z72" s="65"/>
      <c r="AA72" s="54"/>
      <c r="AB72" s="81"/>
      <c r="AC72" s="66"/>
      <c r="AD72" s="1"/>
      <c r="AE72" s="53"/>
      <c r="AF72" s="54"/>
      <c r="AG72" s="88"/>
      <c r="AH72" s="65"/>
      <c r="AI72" s="65"/>
      <c r="AJ72" s="65"/>
      <c r="AK72" s="65"/>
      <c r="AL72" s="65"/>
      <c r="AM72" s="65"/>
      <c r="AN72" s="65"/>
      <c r="AO72" s="54"/>
      <c r="AP72" s="78"/>
      <c r="AQ72" s="65"/>
      <c r="AR72" s="66"/>
      <c r="AS72" s="1"/>
      <c r="AT72" s="146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147"/>
      <c r="BI72" s="1"/>
      <c r="BJ72" s="1"/>
      <c r="BK72" s="1"/>
      <c r="BL72" s="1"/>
    </row>
    <row r="73" spans="1:64" ht="19.5" customHeight="1" x14ac:dyDescent="0.25">
      <c r="A73" s="1"/>
      <c r="B73" s="89" t="s">
        <v>46</v>
      </c>
      <c r="C73" s="90"/>
      <c r="D73" s="82"/>
      <c r="E73" s="83"/>
      <c r="F73" s="70"/>
      <c r="G73" s="89" t="s">
        <v>46</v>
      </c>
      <c r="H73" s="90"/>
      <c r="I73" s="82"/>
      <c r="J73" s="83"/>
      <c r="K73" s="1"/>
      <c r="L73" s="137"/>
      <c r="M73" s="96"/>
      <c r="N73" s="96"/>
      <c r="O73" s="96"/>
      <c r="P73" s="46"/>
      <c r="Q73" s="45"/>
      <c r="R73" s="96"/>
      <c r="S73" s="46"/>
      <c r="T73" s="45"/>
      <c r="U73" s="46"/>
      <c r="V73" s="45" t="s">
        <v>32</v>
      </c>
      <c r="W73" s="46"/>
      <c r="X73" s="45" t="str">
        <f>"D20"&amp;Tables!Q24&amp;IF(T73+AB73=0,"",IF(T73+AB73&gt;0,"+"&amp;T73+AB73,T73+AB73))&amp;Tables!S24</f>
        <v>D20</v>
      </c>
      <c r="Y73" s="96"/>
      <c r="Z73" s="96"/>
      <c r="AA73" s="46"/>
      <c r="AB73" s="120"/>
      <c r="AC73" s="98"/>
      <c r="AD73" s="1"/>
      <c r="AE73" s="93"/>
      <c r="AF73" s="46"/>
      <c r="AG73" s="134"/>
      <c r="AH73" s="96"/>
      <c r="AI73" s="96"/>
      <c r="AJ73" s="96"/>
      <c r="AK73" s="96"/>
      <c r="AL73" s="96"/>
      <c r="AM73" s="96"/>
      <c r="AN73" s="96"/>
      <c r="AO73" s="46"/>
      <c r="AP73" s="97"/>
      <c r="AQ73" s="96"/>
      <c r="AR73" s="98"/>
      <c r="AS73" s="1"/>
      <c r="AT73" s="148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149"/>
      <c r="BI73" s="1"/>
      <c r="BJ73" s="1"/>
      <c r="BK73" s="1"/>
      <c r="BL73" s="1"/>
    </row>
    <row r="74" spans="1:64" ht="19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72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ht="19.5" customHeight="1" x14ac:dyDescent="0.25">
      <c r="A75" s="1"/>
      <c r="B75" s="42" t="s">
        <v>213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4"/>
      <c r="U75" s="14"/>
      <c r="V75" s="212" t="s">
        <v>214</v>
      </c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4"/>
      <c r="BI75" s="1"/>
      <c r="BJ75" s="1"/>
      <c r="BK75" s="1"/>
      <c r="BL75" s="1"/>
    </row>
    <row r="76" spans="1:64" ht="19.5" customHeight="1" x14ac:dyDescent="0.25">
      <c r="A76" s="1"/>
      <c r="B76" s="53" t="s">
        <v>215</v>
      </c>
      <c r="C76" s="65"/>
      <c r="D76" s="65"/>
      <c r="E76" s="54"/>
      <c r="F76" s="78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14"/>
      <c r="V76" s="145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63"/>
      <c r="BI76" s="1"/>
      <c r="BJ76" s="1"/>
      <c r="BK76" s="1"/>
      <c r="BL76" s="1"/>
    </row>
    <row r="77" spans="1:64" ht="19.5" customHeight="1" x14ac:dyDescent="0.25">
      <c r="A77" s="1"/>
      <c r="B77" s="79" t="s">
        <v>216</v>
      </c>
      <c r="C77" s="65"/>
      <c r="D77" s="65"/>
      <c r="E77" s="54"/>
      <c r="F77" s="81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6"/>
      <c r="U77" s="14"/>
      <c r="V77" s="146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147"/>
      <c r="BI77" s="1"/>
      <c r="BJ77" s="1"/>
      <c r="BK77" s="1"/>
      <c r="BL77" s="1"/>
    </row>
    <row r="78" spans="1:64" ht="19.5" customHeight="1" x14ac:dyDescent="0.25">
      <c r="A78" s="1"/>
      <c r="B78" s="53" t="s">
        <v>217</v>
      </c>
      <c r="C78" s="65"/>
      <c r="D78" s="65"/>
      <c r="E78" s="54"/>
      <c r="F78" s="78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14"/>
      <c r="V78" s="146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147"/>
      <c r="BI78" s="1"/>
      <c r="BJ78" s="1"/>
      <c r="BK78" s="1"/>
      <c r="BL78" s="1"/>
    </row>
    <row r="79" spans="1:64" ht="19.5" customHeight="1" x14ac:dyDescent="0.25">
      <c r="A79" s="1"/>
      <c r="B79" s="79" t="s">
        <v>218</v>
      </c>
      <c r="C79" s="65"/>
      <c r="D79" s="65"/>
      <c r="E79" s="54"/>
      <c r="F79" s="81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14"/>
      <c r="V79" s="146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147"/>
      <c r="BI79" s="1"/>
      <c r="BJ79" s="1"/>
      <c r="BK79" s="1"/>
      <c r="BL79" s="1"/>
    </row>
    <row r="80" spans="1:64" ht="19.5" customHeight="1" x14ac:dyDescent="0.25">
      <c r="A80" s="1"/>
      <c r="B80" s="53" t="s">
        <v>219</v>
      </c>
      <c r="C80" s="65"/>
      <c r="D80" s="65"/>
      <c r="E80" s="54"/>
      <c r="F80" s="78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14"/>
      <c r="V80" s="146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147"/>
      <c r="BI80" s="1"/>
      <c r="BJ80" s="1"/>
      <c r="BK80" s="1"/>
      <c r="BL80" s="1"/>
    </row>
    <row r="81" spans="1:64" ht="19.5" customHeight="1" x14ac:dyDescent="0.25">
      <c r="A81" s="1"/>
      <c r="B81" s="79" t="s">
        <v>220</v>
      </c>
      <c r="C81" s="65"/>
      <c r="D81" s="65"/>
      <c r="E81" s="54"/>
      <c r="F81" s="81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14"/>
      <c r="V81" s="146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147"/>
      <c r="BI81" s="1"/>
      <c r="BJ81" s="1"/>
      <c r="BK81" s="1"/>
      <c r="BL81" s="1"/>
    </row>
    <row r="82" spans="1:64" ht="19.5" customHeight="1" x14ac:dyDescent="0.25">
      <c r="A82" s="1"/>
      <c r="B82" s="53" t="s">
        <v>221</v>
      </c>
      <c r="C82" s="65"/>
      <c r="D82" s="65"/>
      <c r="E82" s="54"/>
      <c r="F82" s="78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14"/>
      <c r="V82" s="146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147"/>
      <c r="BI82" s="1"/>
      <c r="BJ82" s="1"/>
      <c r="BK82" s="1"/>
      <c r="BL82" s="1"/>
    </row>
    <row r="83" spans="1:64" ht="19.5" customHeight="1" x14ac:dyDescent="0.25">
      <c r="A83" s="1"/>
      <c r="B83" s="79" t="s">
        <v>222</v>
      </c>
      <c r="C83" s="65"/>
      <c r="D83" s="65"/>
      <c r="E83" s="54"/>
      <c r="F83" s="81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14"/>
      <c r="V83" s="146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147"/>
      <c r="BI83" s="1"/>
      <c r="BJ83" s="1"/>
      <c r="BK83" s="1"/>
      <c r="BL83" s="1"/>
    </row>
    <row r="84" spans="1:64" ht="19.5" customHeight="1" x14ac:dyDescent="0.25">
      <c r="A84" s="1"/>
      <c r="B84" s="53" t="s">
        <v>223</v>
      </c>
      <c r="C84" s="65"/>
      <c r="D84" s="65"/>
      <c r="E84" s="54"/>
      <c r="F84" s="78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14"/>
      <c r="V84" s="146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147"/>
      <c r="BI84" s="1"/>
      <c r="BJ84" s="1"/>
      <c r="BK84" s="1"/>
      <c r="BL84" s="1"/>
    </row>
    <row r="85" spans="1:64" ht="19.5" customHeight="1" x14ac:dyDescent="0.25">
      <c r="A85" s="1"/>
      <c r="B85" s="79" t="s">
        <v>224</v>
      </c>
      <c r="C85" s="65"/>
      <c r="D85" s="65"/>
      <c r="E85" s="54"/>
      <c r="F85" s="81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14"/>
      <c r="V85" s="146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147"/>
      <c r="BI85" s="1"/>
      <c r="BJ85" s="1"/>
      <c r="BK85" s="1"/>
      <c r="BL85" s="1"/>
    </row>
    <row r="86" spans="1:64" ht="19.5" customHeight="1" x14ac:dyDescent="0.25">
      <c r="A86" s="1"/>
      <c r="B86" s="53" t="s">
        <v>225</v>
      </c>
      <c r="C86" s="65"/>
      <c r="D86" s="65"/>
      <c r="E86" s="54"/>
      <c r="F86" s="78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14"/>
      <c r="V86" s="146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147"/>
      <c r="BI86" s="1"/>
      <c r="BJ86" s="1"/>
      <c r="BK86" s="1"/>
      <c r="BL86" s="1"/>
    </row>
    <row r="87" spans="1:64" ht="19.5" customHeight="1" x14ac:dyDescent="0.25">
      <c r="A87" s="1"/>
      <c r="B87" s="93" t="s">
        <v>226</v>
      </c>
      <c r="C87" s="96"/>
      <c r="D87" s="96"/>
      <c r="E87" s="46"/>
      <c r="F87" s="97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8"/>
      <c r="U87" s="14"/>
      <c r="V87" s="148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149"/>
      <c r="BI87" s="1"/>
      <c r="BJ87" s="1"/>
      <c r="BK87" s="1"/>
      <c r="BL87" s="1"/>
    </row>
    <row r="88" spans="1:64" ht="19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19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4" ht="19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spans="1:64" ht="19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64" ht="19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9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9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9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9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 spans="1:64" ht="19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 spans="1:64" ht="19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 spans="1:64" ht="19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 spans="1:64" ht="19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19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 spans="1:64" ht="19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 spans="1:64" ht="19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 spans="1:64" ht="19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19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 spans="1:64" ht="19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19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 ht="19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64" ht="19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9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19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</row>
    <row r="112" spans="1:64" ht="19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</row>
    <row r="113" spans="1:64" ht="19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 spans="1:64" ht="19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</row>
    <row r="115" spans="1:64" ht="19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</row>
    <row r="116" spans="1:64" ht="19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</row>
    <row r="117" spans="1:64" ht="19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 spans="1:64" ht="19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  <row r="119" spans="1:64" ht="19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</row>
    <row r="120" spans="1:64" ht="19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</row>
    <row r="121" spans="1:64" ht="19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</row>
    <row r="122" spans="1:64" ht="19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19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</row>
    <row r="124" spans="1:64" ht="19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</row>
    <row r="125" spans="1:64" ht="19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9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</row>
    <row r="127" spans="1:64" ht="19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9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19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</row>
    <row r="130" spans="1:64" ht="19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19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ht="19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ht="19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</row>
    <row r="134" spans="1:64" ht="19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19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9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</row>
    <row r="137" spans="1:64" ht="19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</row>
    <row r="138" spans="1:64" ht="19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</row>
    <row r="139" spans="1:64" ht="19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</row>
    <row r="140" spans="1:64" ht="19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</row>
    <row r="141" spans="1:64" ht="19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</row>
    <row r="142" spans="1:64" ht="19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19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</row>
    <row r="144" spans="1:64" ht="19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9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9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 spans="1:64" ht="19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 spans="1:64" ht="19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 spans="1:64" ht="19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 spans="1:64" ht="19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 spans="1:64" ht="19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 spans="1:64" ht="19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 spans="1:64" ht="19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 spans="1:64" ht="19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 spans="1:64" ht="19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 spans="1:64" ht="19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 spans="1:64" ht="19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 spans="1:64" ht="19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 spans="1:64" ht="19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 spans="1:64" ht="19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 spans="1:64" ht="19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 spans="1:64" ht="19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19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64" ht="19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 spans="1:64" ht="19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19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 spans="1:64" ht="19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 spans="1:64" ht="19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19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9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 spans="1:64" ht="19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19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9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19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 spans="1:64" ht="19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 spans="1:64" ht="19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 spans="1:64" ht="19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 spans="1:64" ht="19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 spans="1:64" ht="19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19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19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 spans="1:64" ht="19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 spans="1:64" ht="19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 spans="1:64" ht="19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 spans="1:64" ht="19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 spans="1:64" ht="19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 spans="1:64" ht="19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 spans="1:64" ht="19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 spans="1:64" ht="19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 spans="1:64" ht="19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 spans="1:64" ht="19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 spans="1:64" ht="19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 spans="1:64" ht="19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 spans="1:64" ht="19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 spans="1:64" ht="19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 spans="1:64" ht="19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 spans="1:64" ht="19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 spans="1:64" ht="19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 spans="1:64" ht="19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 spans="1:64" ht="19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 spans="1:64" ht="19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 spans="1:64" ht="19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 spans="1:64" ht="19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 spans="1:64" ht="19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 spans="1:64" ht="19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 spans="1:64" ht="19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 spans="1:64" ht="19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 spans="1:64" ht="19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 spans="1:64" ht="19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 spans="1:64" ht="19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 spans="1:64" ht="19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 spans="1:64" ht="19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 spans="1:64" ht="19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 spans="1:64" ht="19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 spans="1:64" ht="19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 spans="1:64" ht="19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 spans="1:64" ht="19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 spans="1:64" ht="19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 spans="1:64" ht="19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 spans="1:64" ht="19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 spans="1:64" ht="19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 spans="1:64" ht="19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 spans="1:64" ht="19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64" ht="19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 spans="1:64" ht="19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 spans="1:64" ht="19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 spans="1:64" ht="19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 spans="1:64" ht="19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 spans="1:64" ht="19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 spans="1:64" ht="19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 spans="1:64" ht="19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 spans="1:64" ht="19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 spans="1:64" ht="19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 spans="1:64" ht="19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 spans="1:64" ht="19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 spans="1:64" ht="19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 spans="1:64" ht="19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 spans="1:64" ht="19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 spans="1:64" ht="19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64" ht="19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 spans="1:64" ht="19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19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 spans="1:64" ht="19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 spans="1:64" ht="19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 spans="1:64" ht="19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 spans="1:64" ht="19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 spans="1:64" ht="19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 spans="1:64" ht="19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9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9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 spans="1:64" ht="19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 spans="1:64" ht="19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 spans="1:64" ht="19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 spans="1:64" ht="19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 spans="1:64" ht="19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 spans="1:64" ht="19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 spans="1:64" ht="19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 spans="1:64" ht="19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 spans="1:64" ht="19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 spans="1:64" ht="19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 spans="1:64" ht="19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 spans="1:64" ht="19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 spans="1:64" ht="19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 spans="1:64" ht="19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 spans="1:64" ht="19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 spans="1:64" ht="19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 spans="1:64" ht="19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 spans="1:64" ht="19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64" ht="19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 spans="1:64" ht="19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 spans="1:64" ht="19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 spans="1:64" ht="19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 spans="1:64" ht="19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 spans="1:64" ht="19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 spans="1:64" ht="19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 spans="1:64" ht="19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 spans="1:64" ht="19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 spans="1:64" ht="19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 spans="1:64" ht="19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 spans="1:64" ht="19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 spans="1:64" ht="19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 spans="1:64" ht="19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 spans="1:64" ht="19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 spans="1:64" ht="19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 spans="1:64" ht="19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 spans="1:64" ht="19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 spans="1:64" ht="19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 spans="1:64" ht="19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 spans="1:64" ht="19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 spans="1:64" ht="19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 spans="1:64" ht="19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 spans="1:64" ht="19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 spans="1:64" ht="19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 spans="1:64" ht="19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 spans="1:64" ht="19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 spans="1:64" ht="19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 spans="1:64" ht="19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 spans="1:64" ht="19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 spans="1:64" ht="19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 spans="1:64" ht="19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 spans="1:64" ht="19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 spans="1:64" ht="19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 spans="1:64" ht="19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 spans="1:64" ht="19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 spans="1:64" ht="19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 spans="1:64" ht="19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 spans="1:64" ht="19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 spans="1:64" ht="19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 spans="1:64" ht="19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 spans="1:64" ht="19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 spans="1:64" ht="19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 spans="1:64" ht="19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 spans="1:64" ht="19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 spans="1:64" ht="19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 spans="1:64" ht="19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 spans="1:64" ht="19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64" ht="19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 spans="1:64" ht="19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 spans="1:64" ht="19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 spans="1:64" ht="19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 spans="1:64" ht="19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 spans="1:64" ht="19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 spans="1:64" ht="19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 spans="1:64" ht="19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 spans="1:64" ht="19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 spans="1:64" ht="19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 spans="1:64" ht="19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 spans="1:64" ht="19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64" ht="19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 spans="1:64" ht="19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 spans="1:64" ht="19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 spans="1:64" ht="19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 spans="1:64" ht="19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 spans="1:64" ht="19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 spans="1:64" ht="19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 spans="1:64" ht="19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 spans="1:64" ht="19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 spans="1:64" ht="19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 spans="1:64" ht="19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64" ht="19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 spans="1:64" ht="19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 spans="1:64" ht="19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 spans="1:64" ht="19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 spans="1:64" ht="19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 spans="1:64" ht="19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 spans="1:64" ht="19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 spans="1:64" ht="19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 spans="1:64" ht="19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 spans="1:64" ht="19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 spans="1:64" ht="19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64" ht="19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t="19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t="19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t="19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t="19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t="19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t="19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t="19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ht="19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 ht="19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 ht="19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 ht="19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 ht="19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 ht="19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 ht="19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 ht="19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 ht="19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 ht="19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 ht="19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 ht="19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 ht="19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 ht="19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 ht="19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 ht="19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 ht="19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 ht="19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 ht="19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 ht="19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 ht="19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 ht="19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 ht="19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 ht="19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 ht="19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 ht="19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 ht="19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 ht="19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 ht="19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 ht="19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 ht="19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 ht="19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 ht="19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 ht="19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 ht="19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 ht="19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 ht="19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 ht="19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 ht="19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 ht="19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 ht="19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 ht="19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 ht="19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 ht="19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 ht="19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 ht="19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 ht="19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 ht="19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 ht="19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 ht="19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 ht="19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 ht="19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 ht="19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 ht="19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 ht="19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 ht="19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 ht="19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 ht="19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 ht="19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 ht="19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 ht="19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 ht="19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 ht="19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 ht="19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 ht="19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 ht="19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 ht="19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 ht="19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 ht="19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 ht="19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 ht="19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 ht="19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 ht="19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 ht="19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 ht="19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 ht="19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 ht="19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 ht="19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 ht="19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 ht="19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 ht="19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 ht="19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 ht="19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 ht="19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 ht="19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 ht="19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 ht="19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 ht="19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 ht="19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 ht="19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 ht="19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 ht="19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 ht="19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 ht="19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 ht="19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 ht="19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 ht="19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 ht="19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 ht="19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 ht="19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 ht="19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 ht="19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 ht="19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 ht="19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 ht="19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 ht="19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 ht="19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 ht="19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 ht="19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 ht="19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 ht="19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 ht="19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 ht="19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 ht="19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 ht="19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 ht="19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 ht="19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 ht="19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 ht="19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 ht="19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 ht="19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 ht="19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 ht="19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 ht="19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 ht="19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 ht="19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 ht="19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 ht="19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 ht="19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 ht="19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 ht="19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 ht="19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 ht="19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 ht="19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 ht="19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 ht="19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 ht="19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 ht="19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 ht="19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 ht="19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 ht="19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 ht="19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 ht="19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 ht="19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 ht="19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 ht="19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 ht="19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 ht="19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 ht="19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 ht="19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 ht="19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 ht="19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 ht="19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 ht="19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 ht="19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 ht="19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 ht="19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 ht="19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 ht="19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 ht="19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 ht="19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 ht="19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 ht="19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 ht="19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 ht="19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 ht="19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 ht="19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 ht="19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 ht="19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 ht="19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 ht="19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 ht="19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 ht="19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 ht="19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 ht="19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 ht="19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 ht="19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 ht="19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 ht="19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 ht="19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 ht="19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 ht="19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 ht="19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 ht="19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 ht="19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 ht="19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 ht="19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 ht="19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 ht="19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 ht="19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 ht="19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 ht="19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 ht="19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 ht="19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 ht="19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 ht="19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 ht="19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 ht="19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 ht="19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 ht="19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 ht="19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 ht="19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 ht="19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 ht="19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 ht="19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 ht="19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 ht="19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 ht="19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 ht="19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 ht="19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 ht="19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 ht="19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 ht="19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 ht="19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 ht="19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 ht="19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 ht="19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 ht="19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 ht="19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 ht="19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 ht="19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 ht="19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 ht="19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 ht="19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 ht="19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 ht="19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 ht="19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 ht="19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 ht="19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 ht="19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 ht="19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 ht="19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 ht="19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 ht="19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 ht="19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 ht="19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 ht="19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 ht="19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 ht="19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 ht="19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 ht="19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 ht="19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 ht="19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 ht="19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 ht="19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 ht="19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 ht="19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 ht="19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 ht="19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 ht="19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 ht="19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 ht="19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 ht="19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 ht="19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 ht="19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 ht="19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 ht="19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 ht="19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 ht="19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 ht="19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 ht="19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 ht="19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 ht="19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 ht="19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 ht="19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 ht="19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 ht="19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 ht="19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 ht="19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 ht="19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 ht="19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 ht="19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 ht="19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 ht="19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 ht="19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 ht="19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 ht="19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 ht="19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 ht="19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 ht="19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 ht="19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 ht="19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 ht="19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 ht="19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 ht="19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 ht="19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 ht="19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 ht="19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 ht="19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 ht="19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 ht="19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 ht="19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 ht="19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 ht="19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 ht="19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 ht="19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 ht="19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 ht="19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 ht="19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 ht="19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 ht="19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 ht="19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 ht="19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 ht="19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 ht="19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 ht="19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 ht="19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 ht="19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 ht="19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 ht="19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 ht="19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 ht="19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 ht="19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 ht="19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 ht="19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 ht="19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 ht="19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 ht="19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 ht="19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 ht="19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 ht="19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 ht="19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 ht="19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 ht="19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 ht="19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 ht="19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 ht="19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 ht="19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 ht="19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 ht="19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 ht="19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 ht="19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 ht="19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 ht="19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 ht="19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 ht="19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 ht="19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 ht="19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 ht="19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 ht="19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 ht="19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 ht="19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 ht="19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 ht="19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 ht="19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 ht="19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 ht="19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 ht="19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 ht="19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 ht="19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 ht="19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 ht="19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 ht="19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 ht="19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 ht="19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 ht="19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 ht="19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 ht="19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 ht="19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 ht="19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 ht="19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 ht="19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 ht="19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 ht="19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 ht="19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 ht="19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 ht="19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 ht="19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 ht="19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 ht="19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 ht="19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 ht="19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 ht="19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 ht="19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 ht="19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 ht="19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 ht="19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 ht="19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 ht="19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 ht="19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 ht="19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 ht="19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 ht="19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 ht="19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 ht="19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 ht="19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 ht="19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 ht="19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 ht="19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 ht="19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 ht="19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 ht="19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 ht="19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 ht="19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 ht="19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 ht="19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 ht="19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 ht="19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 ht="19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 ht="19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 ht="19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 ht="19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 ht="19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 ht="19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 ht="19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 ht="19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 ht="19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 ht="19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 ht="19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 ht="19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 ht="19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 ht="19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 ht="19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 ht="19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 ht="19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 ht="19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 ht="19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 ht="19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 ht="19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 ht="19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 ht="19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 ht="19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 ht="19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 ht="19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 ht="19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 ht="19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 ht="19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 ht="19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 ht="19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 ht="19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 ht="19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 ht="19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 ht="19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 ht="19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 ht="19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 ht="19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 ht="19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 ht="19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 ht="19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 ht="19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 ht="19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 ht="19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 ht="19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 ht="19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 ht="19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 ht="19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 ht="19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 ht="19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 ht="19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 ht="19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 ht="19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 ht="19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 ht="19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 ht="19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 ht="19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 ht="19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 ht="19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 ht="19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 ht="19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 ht="19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 ht="19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 ht="19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 ht="19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 ht="19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 ht="19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 ht="19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 ht="19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 ht="19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 ht="19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 ht="19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 ht="19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 ht="19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 ht="19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 ht="19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 ht="19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 ht="19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 ht="19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 ht="19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 ht="19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 ht="19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 ht="19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 ht="19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 ht="19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 ht="19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 ht="19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 ht="19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 ht="19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 ht="19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 ht="19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 ht="19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 ht="19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 ht="19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 ht="19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 ht="19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 ht="19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 ht="19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 ht="19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 ht="19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 ht="19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 ht="19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 ht="19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 ht="19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 ht="19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 ht="19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 ht="19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 ht="19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 ht="19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 ht="19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 ht="19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 ht="19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 ht="19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 ht="19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 ht="19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 ht="19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 ht="19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 ht="19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 ht="19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 ht="19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 ht="19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 ht="19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 ht="19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 ht="19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 ht="19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 ht="19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 ht="19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 ht="19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 ht="19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 ht="19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 ht="19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 ht="19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 ht="19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 ht="19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 ht="19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 ht="19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 ht="19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 ht="19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 ht="19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 ht="19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 ht="19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 ht="19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 ht="19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 ht="19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 ht="19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 ht="19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 ht="19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 ht="19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 ht="19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 ht="19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 ht="19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 ht="19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 ht="19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 ht="19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 ht="19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 ht="19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 ht="19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 ht="19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 ht="19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 ht="19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 ht="19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 ht="19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 ht="19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 ht="19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 ht="19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 ht="19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 ht="19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 ht="19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 ht="19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 ht="19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 ht="19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 ht="19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 ht="19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 ht="19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 ht="19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 ht="19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 ht="19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 ht="19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 ht="19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 ht="19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 ht="19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 ht="19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 ht="19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 ht="19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 ht="19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 ht="19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 ht="19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 ht="19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 ht="19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 ht="19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 ht="19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 ht="19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 ht="19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 ht="19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 ht="19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 ht="19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 ht="19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 ht="19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 ht="19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 ht="19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 ht="19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 ht="19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 ht="19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 ht="19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 ht="19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 ht="19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 ht="19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 ht="19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 ht="19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 ht="19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 ht="19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 ht="19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 ht="19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 ht="19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 ht="19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 ht="19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 ht="19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 ht="19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 ht="19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 ht="19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 ht="19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 ht="19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 ht="19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 ht="19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 ht="19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 ht="19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 ht="19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 ht="19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 ht="19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 ht="19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 ht="19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 ht="19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 ht="19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 ht="19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 ht="19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 ht="19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 ht="19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 ht="19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 ht="19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 ht="19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 ht="19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 ht="19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 ht="19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 ht="19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</sheetData>
  <mergeCells count="1139">
    <mergeCell ref="V7:W7"/>
    <mergeCell ref="AJ26:AK26"/>
    <mergeCell ref="AE30:AF30"/>
    <mergeCell ref="I38:J38"/>
    <mergeCell ref="AE52:AH52"/>
    <mergeCell ref="E5:G5"/>
    <mergeCell ref="K38:L38"/>
    <mergeCell ref="BD55:BH55"/>
    <mergeCell ref="AG44:AI44"/>
    <mergeCell ref="V71:W71"/>
    <mergeCell ref="B50:C50"/>
    <mergeCell ref="X64:AA64"/>
    <mergeCell ref="AY59:BH59"/>
    <mergeCell ref="D50:E50"/>
    <mergeCell ref="AS53:AT53"/>
    <mergeCell ref="AV54:AW54"/>
    <mergeCell ref="I40:J40"/>
    <mergeCell ref="AG31:AI31"/>
    <mergeCell ref="BE16:BF16"/>
    <mergeCell ref="R17:W17"/>
    <mergeCell ref="B9:G9"/>
    <mergeCell ref="R37:S37"/>
    <mergeCell ref="Y44:Z44"/>
    <mergeCell ref="BF62:BH62"/>
    <mergeCell ref="Y19:Z19"/>
    <mergeCell ref="AC43:AD43"/>
    <mergeCell ref="AS27:AT27"/>
    <mergeCell ref="AP70:AR70"/>
    <mergeCell ref="M38:N38"/>
    <mergeCell ref="AU27:AV27"/>
    <mergeCell ref="X67:AA67"/>
    <mergeCell ref="M42:N42"/>
    <mergeCell ref="BD53:BH53"/>
    <mergeCell ref="AY63:BB63"/>
    <mergeCell ref="B65:C65"/>
    <mergeCell ref="T13:U13"/>
    <mergeCell ref="BE25:BH25"/>
    <mergeCell ref="AS47:AT47"/>
    <mergeCell ref="M29:N29"/>
    <mergeCell ref="M23:N23"/>
    <mergeCell ref="T32:AK32"/>
    <mergeCell ref="G50:H50"/>
    <mergeCell ref="T27:X27"/>
    <mergeCell ref="I50:J50"/>
    <mergeCell ref="AG65:AO65"/>
    <mergeCell ref="BD52:BH52"/>
    <mergeCell ref="Y30:Z30"/>
    <mergeCell ref="T41:V41"/>
    <mergeCell ref="AG28:AI28"/>
    <mergeCell ref="Y29:Z29"/>
    <mergeCell ref="AL23:AP23"/>
    <mergeCell ref="R5:S5"/>
    <mergeCell ref="L47:AC47"/>
    <mergeCell ref="V12:W12"/>
    <mergeCell ref="P19:S19"/>
    <mergeCell ref="B69:C70"/>
    <mergeCell ref="G52:H52"/>
    <mergeCell ref="BB3:BC3"/>
    <mergeCell ref="X51:AA51"/>
    <mergeCell ref="O26:Q26"/>
    <mergeCell ref="G27:H27"/>
    <mergeCell ref="I27:J27"/>
    <mergeCell ref="G54:J54"/>
    <mergeCell ref="D62:E63"/>
    <mergeCell ref="AS50:AT50"/>
    <mergeCell ref="AP54:AQ54"/>
    <mergeCell ref="K18:N18"/>
    <mergeCell ref="O40:Q40"/>
    <mergeCell ref="AV51:AW51"/>
    <mergeCell ref="D57:E57"/>
    <mergeCell ref="Q65:S65"/>
    <mergeCell ref="R3:S3"/>
    <mergeCell ref="B7:D7"/>
    <mergeCell ref="AG29:AI29"/>
    <mergeCell ref="X62:AA62"/>
    <mergeCell ref="E39:F39"/>
    <mergeCell ref="AV47:AW47"/>
    <mergeCell ref="AJ23:AK23"/>
    <mergeCell ref="G39:H39"/>
    <mergeCell ref="AE49:AH49"/>
    <mergeCell ref="V64:W64"/>
    <mergeCell ref="B16:D17"/>
    <mergeCell ref="P9:W9"/>
    <mergeCell ref="G37:H37"/>
    <mergeCell ref="I37:J37"/>
    <mergeCell ref="B57:C57"/>
    <mergeCell ref="AV48:AW48"/>
    <mergeCell ref="R35:S35"/>
    <mergeCell ref="AL51:AN51"/>
    <mergeCell ref="AG30:AI30"/>
    <mergeCell ref="Y31:Z31"/>
    <mergeCell ref="AS52:AT52"/>
    <mergeCell ref="AQ39:AR39"/>
    <mergeCell ref="AS39:AT39"/>
    <mergeCell ref="AC38:AD38"/>
    <mergeCell ref="AE38:AF38"/>
    <mergeCell ref="BB25:BC25"/>
    <mergeCell ref="AE47:AN47"/>
    <mergeCell ref="O37:Q37"/>
    <mergeCell ref="AI48:AK48"/>
    <mergeCell ref="AP49:AQ49"/>
    <mergeCell ref="B28:D28"/>
    <mergeCell ref="AA37:AB37"/>
    <mergeCell ref="AA29:AB29"/>
    <mergeCell ref="R44:S44"/>
    <mergeCell ref="W40:X40"/>
    <mergeCell ref="AY36:BA36"/>
    <mergeCell ref="V54:W54"/>
    <mergeCell ref="T28:X28"/>
    <mergeCell ref="AW42:AX42"/>
    <mergeCell ref="AW29:AX29"/>
    <mergeCell ref="O34:Q34"/>
    <mergeCell ref="X53:AA53"/>
    <mergeCell ref="O28:Q28"/>
    <mergeCell ref="AL28:AP28"/>
    <mergeCell ref="F81:T81"/>
    <mergeCell ref="I72:J72"/>
    <mergeCell ref="D19:G19"/>
    <mergeCell ref="AY55:BC55"/>
    <mergeCell ref="W41:X41"/>
    <mergeCell ref="K7:M7"/>
    <mergeCell ref="O23:Q23"/>
    <mergeCell ref="AG7:AH7"/>
    <mergeCell ref="G24:H24"/>
    <mergeCell ref="AI7:AJ7"/>
    <mergeCell ref="T11:U11"/>
    <mergeCell ref="I24:J24"/>
    <mergeCell ref="V11:W11"/>
    <mergeCell ref="E26:F26"/>
    <mergeCell ref="G26:H26"/>
    <mergeCell ref="X4:Y4"/>
    <mergeCell ref="BE8:BF8"/>
    <mergeCell ref="AZ12:BA12"/>
    <mergeCell ref="O24:Q24"/>
    <mergeCell ref="AP48:AQ48"/>
    <mergeCell ref="V50:W50"/>
    <mergeCell ref="AY23:BA23"/>
    <mergeCell ref="I19:J19"/>
    <mergeCell ref="B45:F45"/>
    <mergeCell ref="AC27:AD27"/>
    <mergeCell ref="BE10:BF10"/>
    <mergeCell ref="AE27:AF27"/>
    <mergeCell ref="B39:D39"/>
    <mergeCell ref="AU42:AV42"/>
    <mergeCell ref="Q51:S51"/>
    <mergeCell ref="AZ13:BA13"/>
    <mergeCell ref="AS26:AT26"/>
    <mergeCell ref="F84:T84"/>
    <mergeCell ref="BE43:BH43"/>
    <mergeCell ref="O39:Q39"/>
    <mergeCell ref="V62:W62"/>
    <mergeCell ref="B48:C49"/>
    <mergeCell ref="BB32:BC32"/>
    <mergeCell ref="V56:W56"/>
    <mergeCell ref="D48:E49"/>
    <mergeCell ref="AS49:AT49"/>
    <mergeCell ref="AO36:AP36"/>
    <mergeCell ref="AQ36:AR36"/>
    <mergeCell ref="AQ30:AR30"/>
    <mergeCell ref="O5:Q5"/>
    <mergeCell ref="Q67:S67"/>
    <mergeCell ref="AS30:AT30"/>
    <mergeCell ref="F86:T86"/>
    <mergeCell ref="AD10:AD11"/>
    <mergeCell ref="F80:T80"/>
    <mergeCell ref="AF10:AF11"/>
    <mergeCell ref="AL41:AN41"/>
    <mergeCell ref="AS42:AT42"/>
    <mergeCell ref="G45:S45"/>
    <mergeCell ref="AB51:AC51"/>
    <mergeCell ref="AS29:AT29"/>
    <mergeCell ref="B66:C66"/>
    <mergeCell ref="AU29:AV29"/>
    <mergeCell ref="F79:T79"/>
    <mergeCell ref="AC37:AD37"/>
    <mergeCell ref="Q69:S69"/>
    <mergeCell ref="AI55:AK55"/>
    <mergeCell ref="AW23:AX23"/>
    <mergeCell ref="AY39:BA39"/>
    <mergeCell ref="V75:BH75"/>
    <mergeCell ref="AX12:AY12"/>
    <mergeCell ref="AG67:AO67"/>
    <mergeCell ref="M36:N36"/>
    <mergeCell ref="T61:U61"/>
    <mergeCell ref="B32:S32"/>
    <mergeCell ref="Q56:S56"/>
    <mergeCell ref="M33:N33"/>
    <mergeCell ref="AO41:AP41"/>
    <mergeCell ref="Z6:AB6"/>
    <mergeCell ref="AY48:BC48"/>
    <mergeCell ref="AQ35:AR35"/>
    <mergeCell ref="L69:P69"/>
    <mergeCell ref="AE65:AF65"/>
    <mergeCell ref="T31:X31"/>
    <mergeCell ref="AG69:AO69"/>
    <mergeCell ref="AG25:AI25"/>
    <mergeCell ref="AO34:AP34"/>
    <mergeCell ref="AY33:BA33"/>
    <mergeCell ref="AQ34:AR34"/>
    <mergeCell ref="AS34:AT34"/>
    <mergeCell ref="AA42:AB42"/>
    <mergeCell ref="G40:H40"/>
    <mergeCell ref="AS44:AT44"/>
    <mergeCell ref="AU44:AV44"/>
    <mergeCell ref="K13:N13"/>
    <mergeCell ref="R16:S16"/>
    <mergeCell ref="AS31:AT31"/>
    <mergeCell ref="AU31:AV31"/>
    <mergeCell ref="AY53:BC53"/>
    <mergeCell ref="X71:AA71"/>
    <mergeCell ref="T39:X39"/>
    <mergeCell ref="G30:H30"/>
    <mergeCell ref="BB31:BC31"/>
    <mergeCell ref="BE41:BH41"/>
    <mergeCell ref="AI52:AK52"/>
    <mergeCell ref="Q66:S66"/>
    <mergeCell ref="V72:W72"/>
    <mergeCell ref="AV55:AW55"/>
    <mergeCell ref="AE55:AH55"/>
    <mergeCell ref="AA24:AB24"/>
    <mergeCell ref="BB39:BC39"/>
    <mergeCell ref="B42:F42"/>
    <mergeCell ref="AX11:AY11"/>
    <mergeCell ref="AG66:AO66"/>
    <mergeCell ref="AL43:AN43"/>
    <mergeCell ref="AT67:AV67"/>
    <mergeCell ref="AC24:AD24"/>
    <mergeCell ref="AC10:AC11"/>
    <mergeCell ref="AE10:AE11"/>
    <mergeCell ref="I18:J18"/>
    <mergeCell ref="AA26:AB26"/>
    <mergeCell ref="B44:F44"/>
    <mergeCell ref="AG68:AO68"/>
    <mergeCell ref="AC26:AD26"/>
    <mergeCell ref="M25:N25"/>
    <mergeCell ref="G34:H34"/>
    <mergeCell ref="X52:AA52"/>
    <mergeCell ref="BB13:BC13"/>
    <mergeCell ref="M34:N34"/>
    <mergeCell ref="AE25:AF25"/>
    <mergeCell ref="G42:H42"/>
    <mergeCell ref="BA18:BC18"/>
    <mergeCell ref="AE35:AF35"/>
    <mergeCell ref="AL2:AV2"/>
    <mergeCell ref="AL3:AV19"/>
    <mergeCell ref="AZ9:BA9"/>
    <mergeCell ref="AY28:BA28"/>
    <mergeCell ref="AL26:AP26"/>
    <mergeCell ref="AX16:BC16"/>
    <mergeCell ref="AT68:AV68"/>
    <mergeCell ref="AT58:BH58"/>
    <mergeCell ref="AZ4:BA4"/>
    <mergeCell ref="BB4:BC4"/>
    <mergeCell ref="BB7:BC7"/>
    <mergeCell ref="BD50:BH50"/>
    <mergeCell ref="T23:X23"/>
    <mergeCell ref="AS32:AT32"/>
    <mergeCell ref="Y13:Z13"/>
    <mergeCell ref="AU32:AV32"/>
    <mergeCell ref="AS37:AT37"/>
    <mergeCell ref="AU37:AV37"/>
    <mergeCell ref="AC40:AD40"/>
    <mergeCell ref="AE40:AF40"/>
    <mergeCell ref="AL22:BC22"/>
    <mergeCell ref="AI51:AK51"/>
    <mergeCell ref="X59:AA59"/>
    <mergeCell ref="AU23:AV23"/>
    <mergeCell ref="BE9:BF9"/>
    <mergeCell ref="X61:AA61"/>
    <mergeCell ref="BG9:BH9"/>
    <mergeCell ref="BF64:BH64"/>
    <mergeCell ref="AC34:AD34"/>
    <mergeCell ref="AJ37:AK37"/>
    <mergeCell ref="BE11:BF11"/>
    <mergeCell ref="BB10:BC10"/>
    <mergeCell ref="O3:Q3"/>
    <mergeCell ref="AS28:AT28"/>
    <mergeCell ref="AE69:AF69"/>
    <mergeCell ref="F78:T78"/>
    <mergeCell ref="Q68:S68"/>
    <mergeCell ref="B24:F24"/>
    <mergeCell ref="AC6:AD6"/>
    <mergeCell ref="AT64:AX64"/>
    <mergeCell ref="AE74:AR74"/>
    <mergeCell ref="AE6:AF6"/>
    <mergeCell ref="AW67:BH67"/>
    <mergeCell ref="X49:AA49"/>
    <mergeCell ref="K12:N12"/>
    <mergeCell ref="BE7:BF7"/>
    <mergeCell ref="AT69:BH73"/>
    <mergeCell ref="BD54:BH54"/>
    <mergeCell ref="AE4:AF4"/>
    <mergeCell ref="AG4:AH4"/>
    <mergeCell ref="Q72:S72"/>
    <mergeCell ref="D18:G18"/>
    <mergeCell ref="BG6:BH6"/>
    <mergeCell ref="B19:C19"/>
    <mergeCell ref="BE45:BH45"/>
    <mergeCell ref="BB34:BC34"/>
    <mergeCell ref="Y28:Z28"/>
    <mergeCell ref="AL50:AN50"/>
    <mergeCell ref="AB66:AC66"/>
    <mergeCell ref="AE72:AF72"/>
    <mergeCell ref="Y15:Z15"/>
    <mergeCell ref="AA44:AB44"/>
    <mergeCell ref="AX17:AZ17"/>
    <mergeCell ref="G23:H23"/>
    <mergeCell ref="G73:H73"/>
    <mergeCell ref="BE35:BH35"/>
    <mergeCell ref="I73:J73"/>
    <mergeCell ref="AX3:AY3"/>
    <mergeCell ref="AW40:AX40"/>
    <mergeCell ref="BE22:BH22"/>
    <mergeCell ref="BB36:BC36"/>
    <mergeCell ref="AZ3:BA3"/>
    <mergeCell ref="AG63:AO63"/>
    <mergeCell ref="AB53:AC53"/>
    <mergeCell ref="T6:U6"/>
    <mergeCell ref="AB68:AC68"/>
    <mergeCell ref="AY41:BA41"/>
    <mergeCell ref="Y23:Z23"/>
    <mergeCell ref="B36:F36"/>
    <mergeCell ref="AX5:AY5"/>
    <mergeCell ref="AA23:AB23"/>
    <mergeCell ref="Q55:S55"/>
    <mergeCell ref="AE53:AH53"/>
    <mergeCell ref="AY43:BA43"/>
    <mergeCell ref="I10:K11"/>
    <mergeCell ref="R29:S29"/>
    <mergeCell ref="AA27:AB27"/>
    <mergeCell ref="L66:P66"/>
    <mergeCell ref="AC5:AD5"/>
    <mergeCell ref="AE67:AF67"/>
    <mergeCell ref="K4:M4"/>
    <mergeCell ref="T40:V40"/>
    <mergeCell ref="T53:U53"/>
    <mergeCell ref="I57:J57"/>
    <mergeCell ref="AQ37:AR37"/>
    <mergeCell ref="AT62:AX62"/>
    <mergeCell ref="B81:E81"/>
    <mergeCell ref="AB71:AC71"/>
    <mergeCell ref="AE61:AF61"/>
    <mergeCell ref="K40:L40"/>
    <mergeCell ref="T71:U71"/>
    <mergeCell ref="M40:N40"/>
    <mergeCell ref="AU45:AV45"/>
    <mergeCell ref="T22:AK22"/>
    <mergeCell ref="BB41:BC41"/>
    <mergeCell ref="AW45:AX45"/>
    <mergeCell ref="BB35:BC35"/>
    <mergeCell ref="AO45:AP45"/>
    <mergeCell ref="AY30:BA30"/>
    <mergeCell ref="L55:P55"/>
    <mergeCell ref="AY52:BC52"/>
    <mergeCell ref="B38:D38"/>
    <mergeCell ref="L53:P53"/>
    <mergeCell ref="R31:S31"/>
    <mergeCell ref="AJ39:AK39"/>
    <mergeCell ref="AA34:AB34"/>
    <mergeCell ref="AY47:BC47"/>
    <mergeCell ref="AS25:AT25"/>
    <mergeCell ref="L68:P68"/>
    <mergeCell ref="T59:U59"/>
    <mergeCell ref="R24:S24"/>
    <mergeCell ref="V59:W59"/>
    <mergeCell ref="E28:F28"/>
    <mergeCell ref="G28:H28"/>
    <mergeCell ref="AO33:AP33"/>
    <mergeCell ref="AQ33:AR33"/>
    <mergeCell ref="AW37:AX37"/>
    <mergeCell ref="AB50:AC50"/>
    <mergeCell ref="B84:E84"/>
    <mergeCell ref="BG18:BH18"/>
    <mergeCell ref="H6:J6"/>
    <mergeCell ref="BE40:BH40"/>
    <mergeCell ref="AX2:BC2"/>
    <mergeCell ref="AL45:AN45"/>
    <mergeCell ref="B72:C72"/>
    <mergeCell ref="Q63:S63"/>
    <mergeCell ref="AI49:AK49"/>
    <mergeCell ref="AB55:AC55"/>
    <mergeCell ref="AG36:AI36"/>
    <mergeCell ref="X69:AA69"/>
    <mergeCell ref="BG17:BH17"/>
    <mergeCell ref="AL30:AP30"/>
    <mergeCell ref="AL37:AN37"/>
    <mergeCell ref="Q50:S50"/>
    <mergeCell ref="AQ25:AR25"/>
    <mergeCell ref="AE66:AF66"/>
    <mergeCell ref="B80:E80"/>
    <mergeCell ref="AG70:AO70"/>
    <mergeCell ref="D65:E65"/>
    <mergeCell ref="V13:W13"/>
    <mergeCell ref="O2:AJ2"/>
    <mergeCell ref="AY35:BA35"/>
    <mergeCell ref="AC3:AD3"/>
    <mergeCell ref="X7:Y7"/>
    <mergeCell ref="B79:E79"/>
    <mergeCell ref="AE3:AF3"/>
    <mergeCell ref="Y39:Z39"/>
    <mergeCell ref="L16:N17"/>
    <mergeCell ref="R7:S7"/>
    <mergeCell ref="O27:Q27"/>
    <mergeCell ref="F82:T82"/>
    <mergeCell ref="L63:P63"/>
    <mergeCell ref="K27:L27"/>
    <mergeCell ref="G65:H65"/>
    <mergeCell ref="M27:N27"/>
    <mergeCell ref="L50:P50"/>
    <mergeCell ref="AB52:AC52"/>
    <mergeCell ref="AJ36:AK36"/>
    <mergeCell ref="BE32:BH32"/>
    <mergeCell ref="AG41:AI41"/>
    <mergeCell ref="L52:P52"/>
    <mergeCell ref="AJ29:AK29"/>
    <mergeCell ref="X68:AA68"/>
    <mergeCell ref="BG16:BH16"/>
    <mergeCell ref="G25:H25"/>
    <mergeCell ref="Y33:Z33"/>
    <mergeCell ref="AJ44:AK44"/>
    <mergeCell ref="AO40:AP40"/>
    <mergeCell ref="AC41:AD41"/>
    <mergeCell ref="AW27:AX27"/>
    <mergeCell ref="R23:S23"/>
    <mergeCell ref="BE18:BF18"/>
    <mergeCell ref="AJ31:AK31"/>
    <mergeCell ref="AA39:AB39"/>
    <mergeCell ref="AE58:AR58"/>
    <mergeCell ref="T63:U63"/>
    <mergeCell ref="AP51:AQ51"/>
    <mergeCell ref="V63:W63"/>
    <mergeCell ref="T44:X44"/>
    <mergeCell ref="AY50:BC50"/>
    <mergeCell ref="B23:F23"/>
    <mergeCell ref="AP65:AR65"/>
    <mergeCell ref="BF63:BH63"/>
    <mergeCell ref="T55:U55"/>
    <mergeCell ref="P18:R18"/>
    <mergeCell ref="AE50:AH50"/>
    <mergeCell ref="AY40:BA40"/>
    <mergeCell ref="G61:J61"/>
    <mergeCell ref="D69:E70"/>
    <mergeCell ref="AJ34:AK34"/>
    <mergeCell ref="R42:S42"/>
    <mergeCell ref="AG23:AI23"/>
    <mergeCell ref="BG19:BH19"/>
    <mergeCell ref="I28:J28"/>
    <mergeCell ref="AA36:AB36"/>
    <mergeCell ref="BE33:BH33"/>
    <mergeCell ref="AL55:AN55"/>
    <mergeCell ref="AO43:AP43"/>
    <mergeCell ref="AY34:BA34"/>
    <mergeCell ref="M30:N30"/>
    <mergeCell ref="AL38:AN38"/>
    <mergeCell ref="R26:S26"/>
    <mergeCell ref="AY25:BA25"/>
    <mergeCell ref="B29:F29"/>
    <mergeCell ref="AO35:AP35"/>
    <mergeCell ref="B64:C64"/>
    <mergeCell ref="AG34:AI34"/>
    <mergeCell ref="AP62:AR62"/>
    <mergeCell ref="D64:E64"/>
    <mergeCell ref="B51:C51"/>
    <mergeCell ref="T34:X34"/>
    <mergeCell ref="D51:E51"/>
    <mergeCell ref="T69:U69"/>
    <mergeCell ref="Q53:S53"/>
    <mergeCell ref="B78:E78"/>
    <mergeCell ref="AA25:AB25"/>
    <mergeCell ref="K37:L37"/>
    <mergeCell ref="G68:J68"/>
    <mergeCell ref="R33:S33"/>
    <mergeCell ref="AB49:AC49"/>
    <mergeCell ref="AP64:AR64"/>
    <mergeCell ref="Z7:AB7"/>
    <mergeCell ref="BE3:BF3"/>
    <mergeCell ref="L70:P70"/>
    <mergeCell ref="BE42:BH42"/>
    <mergeCell ref="AB65:AC65"/>
    <mergeCell ref="BG3:BH3"/>
    <mergeCell ref="T30:X30"/>
    <mergeCell ref="AU39:AV39"/>
    <mergeCell ref="AW39:AX39"/>
    <mergeCell ref="P10:Q10"/>
    <mergeCell ref="T29:X29"/>
    <mergeCell ref="R10:S10"/>
    <mergeCell ref="AE59:AF59"/>
    <mergeCell ref="BE5:BF5"/>
    <mergeCell ref="F54:F59"/>
    <mergeCell ref="BG5:BH5"/>
    <mergeCell ref="B18:C18"/>
    <mergeCell ref="B73:C73"/>
    <mergeCell ref="Y17:Z17"/>
    <mergeCell ref="AO39:AP39"/>
    <mergeCell ref="AU36:AV36"/>
    <mergeCell ref="AE44:AF44"/>
    <mergeCell ref="BB26:BC26"/>
    <mergeCell ref="AW30:AX30"/>
    <mergeCell ref="K6:M6"/>
    <mergeCell ref="B82:E82"/>
    <mergeCell ref="O36:Q36"/>
    <mergeCell ref="X55:AA55"/>
    <mergeCell ref="O30:Q30"/>
    <mergeCell ref="G31:H31"/>
    <mergeCell ref="I31:J31"/>
    <mergeCell ref="T45:AK45"/>
    <mergeCell ref="G62:H63"/>
    <mergeCell ref="I62:J63"/>
    <mergeCell ref="D59:E59"/>
    <mergeCell ref="BG13:BH13"/>
    <mergeCell ref="O29:Q29"/>
    <mergeCell ref="AE70:AF70"/>
    <mergeCell ref="AP53:AQ53"/>
    <mergeCell ref="K24:L24"/>
    <mergeCell ref="B25:F25"/>
    <mergeCell ref="O44:Q44"/>
    <mergeCell ref="BE15:BF15"/>
    <mergeCell ref="T33:X33"/>
    <mergeCell ref="T49:U49"/>
    <mergeCell ref="G47:J47"/>
    <mergeCell ref="O31:Q31"/>
    <mergeCell ref="L57:P57"/>
    <mergeCell ref="I26:J26"/>
    <mergeCell ref="K26:L26"/>
    <mergeCell ref="G57:H57"/>
    <mergeCell ref="AU24:AV24"/>
    <mergeCell ref="AL25:AP25"/>
    <mergeCell ref="AW24:AX24"/>
    <mergeCell ref="AO37:AP37"/>
    <mergeCell ref="T50:U50"/>
    <mergeCell ref="AJ28:AK28"/>
    <mergeCell ref="B3:D3"/>
    <mergeCell ref="Y12:Z12"/>
    <mergeCell ref="T16:U16"/>
    <mergeCell ref="AW31:AX31"/>
    <mergeCell ref="I29:J29"/>
    <mergeCell ref="V16:W16"/>
    <mergeCell ref="G69:H70"/>
    <mergeCell ref="T52:U52"/>
    <mergeCell ref="B10:D11"/>
    <mergeCell ref="AE54:AH54"/>
    <mergeCell ref="E7:G7"/>
    <mergeCell ref="B6:D6"/>
    <mergeCell ref="AU26:AV26"/>
    <mergeCell ref="AG33:AI33"/>
    <mergeCell ref="V6:W6"/>
    <mergeCell ref="AW26:AX26"/>
    <mergeCell ref="X6:Y6"/>
    <mergeCell ref="V69:W69"/>
    <mergeCell ref="AS51:AT51"/>
    <mergeCell ref="AV52:AW52"/>
    <mergeCell ref="AP55:AQ55"/>
    <mergeCell ref="Y35:Z35"/>
    <mergeCell ref="T25:X25"/>
    <mergeCell ref="B55:C56"/>
    <mergeCell ref="D55:E56"/>
    <mergeCell ref="AU34:AV34"/>
    <mergeCell ref="AS43:AT43"/>
    <mergeCell ref="AW34:AX34"/>
    <mergeCell ref="AJ38:AK38"/>
    <mergeCell ref="AE42:AF42"/>
    <mergeCell ref="T68:U68"/>
    <mergeCell ref="D58:E58"/>
    <mergeCell ref="Z4:AB4"/>
    <mergeCell ref="AS36:AT36"/>
    <mergeCell ref="AB56:AC56"/>
    <mergeCell ref="Y34:Z34"/>
    <mergeCell ref="AJ30:AK30"/>
    <mergeCell ref="X66:AA66"/>
    <mergeCell ref="H5:J5"/>
    <mergeCell ref="Y25:Z25"/>
    <mergeCell ref="B4:D4"/>
    <mergeCell ref="K42:L42"/>
    <mergeCell ref="I42:J42"/>
    <mergeCell ref="G58:H58"/>
    <mergeCell ref="AL44:AN44"/>
    <mergeCell ref="AC25:AD25"/>
    <mergeCell ref="AT66:AV66"/>
    <mergeCell ref="AV53:AW53"/>
    <mergeCell ref="P13:Q13"/>
    <mergeCell ref="AG35:AI35"/>
    <mergeCell ref="B59:C59"/>
    <mergeCell ref="AI53:AK53"/>
    <mergeCell ref="X65:AA65"/>
    <mergeCell ref="B54:E54"/>
    <mergeCell ref="AU30:AV30"/>
    <mergeCell ref="G48:H49"/>
    <mergeCell ref="G35:H35"/>
    <mergeCell ref="AB64:AC64"/>
    <mergeCell ref="H7:J7"/>
    <mergeCell ref="E6:G6"/>
    <mergeCell ref="I9:N9"/>
    <mergeCell ref="AW44:AX44"/>
    <mergeCell ref="G29:H29"/>
    <mergeCell ref="AL40:AN40"/>
    <mergeCell ref="AG6:AH6"/>
    <mergeCell ref="AI6:AJ6"/>
    <mergeCell ref="Y14:Z14"/>
    <mergeCell ref="BE23:BH23"/>
    <mergeCell ref="BD51:BH51"/>
    <mergeCell ref="T5:U5"/>
    <mergeCell ref="AV50:AW50"/>
    <mergeCell ref="BB12:BC12"/>
    <mergeCell ref="V67:W67"/>
    <mergeCell ref="X60:AA60"/>
    <mergeCell ref="AS54:AT54"/>
    <mergeCell ref="AL53:AN53"/>
    <mergeCell ref="V5:W5"/>
    <mergeCell ref="AY24:BA24"/>
    <mergeCell ref="G36:H36"/>
    <mergeCell ref="B20:BH20"/>
    <mergeCell ref="AQ41:AR41"/>
    <mergeCell ref="I36:J36"/>
    <mergeCell ref="AS41:AT41"/>
    <mergeCell ref="T19:W19"/>
    <mergeCell ref="K36:L36"/>
    <mergeCell ref="AU35:AV35"/>
    <mergeCell ref="AP59:AR59"/>
    <mergeCell ref="BG8:BH8"/>
    <mergeCell ref="BG10:BH10"/>
    <mergeCell ref="BE37:BH37"/>
    <mergeCell ref="BE24:BH24"/>
    <mergeCell ref="BE26:BH26"/>
    <mergeCell ref="Y36:Z36"/>
    <mergeCell ref="I52:J52"/>
    <mergeCell ref="AY27:BA27"/>
    <mergeCell ref="AE57:AR57"/>
    <mergeCell ref="T66:U66"/>
    <mergeCell ref="V66:W66"/>
    <mergeCell ref="Y27:Z27"/>
    <mergeCell ref="AZ11:BA11"/>
    <mergeCell ref="AE24:AF24"/>
    <mergeCell ref="AV49:AW49"/>
    <mergeCell ref="BB11:BC11"/>
    <mergeCell ref="BG7:BH7"/>
    <mergeCell ref="AJ25:AK25"/>
    <mergeCell ref="G41:H41"/>
    <mergeCell ref="P15:W15"/>
    <mergeCell ref="E4:G4"/>
    <mergeCell ref="BE21:BH21"/>
    <mergeCell ref="AG10:AG11"/>
    <mergeCell ref="T3:U3"/>
    <mergeCell ref="T36:X36"/>
    <mergeCell ref="X58:AA58"/>
    <mergeCell ref="AI10:AI11"/>
    <mergeCell ref="V3:W3"/>
    <mergeCell ref="X63:AA63"/>
    <mergeCell ref="AA10:AA11"/>
    <mergeCell ref="AE26:AF26"/>
    <mergeCell ref="E16:G17"/>
    <mergeCell ref="R39:S39"/>
    <mergeCell ref="G43:H43"/>
    <mergeCell ref="I34:J34"/>
    <mergeCell ref="K34:L34"/>
    <mergeCell ref="AY38:BA38"/>
    <mergeCell ref="X50:AA50"/>
    <mergeCell ref="E3:M3"/>
    <mergeCell ref="AB63:AC63"/>
    <mergeCell ref="BB33:BC33"/>
    <mergeCell ref="M37:N37"/>
    <mergeCell ref="AT59:AX59"/>
    <mergeCell ref="L54:P54"/>
    <mergeCell ref="AC44:AD44"/>
    <mergeCell ref="I23:J23"/>
    <mergeCell ref="AY49:BC49"/>
    <mergeCell ref="AA31:AB31"/>
    <mergeCell ref="K23:L23"/>
    <mergeCell ref="AT61:BH61"/>
    <mergeCell ref="AC31:AD31"/>
    <mergeCell ref="BB9:BC9"/>
    <mergeCell ref="AX19:AZ19"/>
    <mergeCell ref="L56:P56"/>
    <mergeCell ref="P12:Q12"/>
    <mergeCell ref="AE37:AF37"/>
    <mergeCell ref="T43:X43"/>
    <mergeCell ref="O7:Q7"/>
    <mergeCell ref="M41:N41"/>
    <mergeCell ref="AE60:AF60"/>
    <mergeCell ref="AB10:AB11"/>
    <mergeCell ref="BE13:BF13"/>
    <mergeCell ref="AP61:AR61"/>
    <mergeCell ref="BB8:BC8"/>
    <mergeCell ref="AQ28:AR28"/>
    <mergeCell ref="AX9:AY9"/>
    <mergeCell ref="M39:N39"/>
    <mergeCell ref="M43:N43"/>
    <mergeCell ref="O42:Q42"/>
    <mergeCell ref="P16:Q16"/>
    <mergeCell ref="AE28:AF28"/>
    <mergeCell ref="BG11:BH11"/>
    <mergeCell ref="AJ24:AK24"/>
    <mergeCell ref="Q71:S71"/>
    <mergeCell ref="H4:J4"/>
    <mergeCell ref="AY64:BB64"/>
    <mergeCell ref="AS33:AT33"/>
    <mergeCell ref="AU33:AV33"/>
    <mergeCell ref="V61:W61"/>
    <mergeCell ref="AP47:AQ47"/>
    <mergeCell ref="AS35:AT35"/>
    <mergeCell ref="AX6:AY6"/>
    <mergeCell ref="AI50:AK50"/>
    <mergeCell ref="B31:F31"/>
    <mergeCell ref="AZ6:BA6"/>
    <mergeCell ref="O25:Q25"/>
    <mergeCell ref="B71:C71"/>
    <mergeCell ref="AB54:AC54"/>
    <mergeCell ref="AU28:AV28"/>
    <mergeCell ref="S18:W18"/>
    <mergeCell ref="K19:N19"/>
    <mergeCell ref="AJ10:AJ11"/>
    <mergeCell ref="G44:J44"/>
    <mergeCell ref="B43:F43"/>
    <mergeCell ref="AA30:AB30"/>
    <mergeCell ref="R34:S34"/>
    <mergeCell ref="AX4:AY4"/>
    <mergeCell ref="O35:Q35"/>
    <mergeCell ref="X70:AA70"/>
    <mergeCell ref="AQ43:AR43"/>
    <mergeCell ref="AP50:AQ50"/>
    <mergeCell ref="AC42:AD42"/>
    <mergeCell ref="AI4:AJ4"/>
    <mergeCell ref="P17:Q17"/>
    <mergeCell ref="AC29:AD29"/>
    <mergeCell ref="BE4:BF4"/>
    <mergeCell ref="AC30:AD30"/>
    <mergeCell ref="E38:F38"/>
    <mergeCell ref="X56:AA56"/>
    <mergeCell ref="BG4:BH4"/>
    <mergeCell ref="R25:S25"/>
    <mergeCell ref="G38:H38"/>
    <mergeCell ref="L71:P71"/>
    <mergeCell ref="AX18:AZ18"/>
    <mergeCell ref="AG71:AO71"/>
    <mergeCell ref="P11:Q11"/>
    <mergeCell ref="B75:T75"/>
    <mergeCell ref="AC23:AD23"/>
    <mergeCell ref="R36:S36"/>
    <mergeCell ref="AE23:AF23"/>
    <mergeCell ref="AG39:AI39"/>
    <mergeCell ref="Y26:Z26"/>
    <mergeCell ref="BD48:BH48"/>
    <mergeCell ref="AX15:BC15"/>
    <mergeCell ref="L73:P73"/>
    <mergeCell ref="O38:Q38"/>
    <mergeCell ref="X57:AA57"/>
    <mergeCell ref="AO38:AP38"/>
    <mergeCell ref="G33:H33"/>
    <mergeCell ref="AQ38:AR38"/>
    <mergeCell ref="I33:J33"/>
    <mergeCell ref="AA41:AB41"/>
    <mergeCell ref="BE44:BH44"/>
    <mergeCell ref="I51:J51"/>
    <mergeCell ref="AQ31:AR31"/>
    <mergeCell ref="O6:Q6"/>
    <mergeCell ref="G51:H51"/>
    <mergeCell ref="AG3:AH3"/>
    <mergeCell ref="AE68:AF68"/>
    <mergeCell ref="T56:U56"/>
    <mergeCell ref="T7:U7"/>
    <mergeCell ref="AI3:AJ3"/>
    <mergeCell ref="R43:S43"/>
    <mergeCell ref="K5:M5"/>
    <mergeCell ref="AW66:AY66"/>
    <mergeCell ref="AE5:AF5"/>
    <mergeCell ref="I13:J13"/>
    <mergeCell ref="AG5:AH5"/>
    <mergeCell ref="BA17:BC17"/>
    <mergeCell ref="AQ27:AR27"/>
    <mergeCell ref="Y9:AJ9"/>
    <mergeCell ref="AI5:AJ5"/>
    <mergeCell ref="BE27:BH27"/>
    <mergeCell ref="BE2:BH2"/>
    <mergeCell ref="Q58:S58"/>
    <mergeCell ref="AS45:AT45"/>
    <mergeCell ref="AL32:AN32"/>
    <mergeCell ref="AW68:BH68"/>
    <mergeCell ref="BA19:BC19"/>
    <mergeCell ref="AP63:AR63"/>
    <mergeCell ref="M44:N44"/>
    <mergeCell ref="AX10:AY10"/>
    <mergeCell ref="AA28:AB28"/>
    <mergeCell ref="AZ10:BA10"/>
    <mergeCell ref="Q60:S60"/>
    <mergeCell ref="AC28:AD28"/>
    <mergeCell ref="X54:AA54"/>
    <mergeCell ref="AH10:AH11"/>
    <mergeCell ref="B21:BC21"/>
    <mergeCell ref="F77:T77"/>
    <mergeCell ref="L58:P58"/>
    <mergeCell ref="AC35:AD35"/>
    <mergeCell ref="D72:E72"/>
    <mergeCell ref="B34:F34"/>
    <mergeCell ref="B86:E86"/>
    <mergeCell ref="E27:F27"/>
    <mergeCell ref="AY51:BC51"/>
    <mergeCell ref="AU25:AV25"/>
    <mergeCell ref="D13:G13"/>
    <mergeCell ref="T70:U70"/>
    <mergeCell ref="B62:C63"/>
    <mergeCell ref="L60:P60"/>
    <mergeCell ref="V70:W70"/>
    <mergeCell ref="R41:S41"/>
    <mergeCell ref="W42:X42"/>
    <mergeCell ref="AY37:BA37"/>
    <mergeCell ref="AG60:AO60"/>
    <mergeCell ref="B30:F30"/>
    <mergeCell ref="AG72:AO72"/>
    <mergeCell ref="AB73:AC73"/>
    <mergeCell ref="F47:F52"/>
    <mergeCell ref="F83:T83"/>
    <mergeCell ref="Q73:S73"/>
    <mergeCell ref="F85:T85"/>
    <mergeCell ref="B58:C58"/>
    <mergeCell ref="AW28:AX28"/>
    <mergeCell ref="B52:C52"/>
    <mergeCell ref="I55:J56"/>
    <mergeCell ref="D52:E52"/>
    <mergeCell ref="AG73:AO73"/>
    <mergeCell ref="V68:W68"/>
    <mergeCell ref="F87:T87"/>
    <mergeCell ref="L72:P72"/>
    <mergeCell ref="AX8:AY8"/>
    <mergeCell ref="L10:N11"/>
    <mergeCell ref="B33:F33"/>
    <mergeCell ref="AZ8:BA8"/>
    <mergeCell ref="Q52:S52"/>
    <mergeCell ref="V57:W57"/>
    <mergeCell ref="AQ44:AR44"/>
    <mergeCell ref="B22:S22"/>
    <mergeCell ref="B27:D27"/>
    <mergeCell ref="AJ41:AK41"/>
    <mergeCell ref="E37:F37"/>
    <mergeCell ref="L65:P65"/>
    <mergeCell ref="V76:BH87"/>
    <mergeCell ref="B41:F41"/>
    <mergeCell ref="AY42:BA42"/>
    <mergeCell ref="B35:F35"/>
    <mergeCell ref="G72:H72"/>
    <mergeCell ref="AJ43:AK43"/>
    <mergeCell ref="Y38:Z38"/>
    <mergeCell ref="AA38:AB38"/>
    <mergeCell ref="B46:BC46"/>
    <mergeCell ref="AB58:AC58"/>
    <mergeCell ref="BE39:BH39"/>
    <mergeCell ref="BC66:BH66"/>
    <mergeCell ref="AQ45:AR45"/>
    <mergeCell ref="AW32:AX32"/>
    <mergeCell ref="R28:S28"/>
    <mergeCell ref="AO32:AP32"/>
    <mergeCell ref="Y24:Z24"/>
    <mergeCell ref="V58:W58"/>
    <mergeCell ref="B85:E85"/>
    <mergeCell ref="T4:U4"/>
    <mergeCell ref="T35:X35"/>
    <mergeCell ref="V4:W4"/>
    <mergeCell ref="R40:S40"/>
    <mergeCell ref="T65:U65"/>
    <mergeCell ref="AB72:AC72"/>
    <mergeCell ref="BB38:BC38"/>
    <mergeCell ref="AQ42:AR42"/>
    <mergeCell ref="T73:U73"/>
    <mergeCell ref="AB70:AC70"/>
    <mergeCell ref="I12:J12"/>
    <mergeCell ref="AX13:AY13"/>
    <mergeCell ref="AX7:AY7"/>
    <mergeCell ref="AP72:AR72"/>
    <mergeCell ref="AG43:AI43"/>
    <mergeCell ref="V60:W60"/>
    <mergeCell ref="Q57:S57"/>
    <mergeCell ref="AZ7:BA7"/>
    <mergeCell ref="M28:N28"/>
    <mergeCell ref="BB40:BC40"/>
    <mergeCell ref="B26:D26"/>
    <mergeCell ref="AA35:AB35"/>
    <mergeCell ref="I39:J39"/>
    <mergeCell ref="AY45:BA45"/>
    <mergeCell ref="K39:L39"/>
    <mergeCell ref="B40:F40"/>
    <mergeCell ref="AG64:AO64"/>
    <mergeCell ref="AT65:AV65"/>
    <mergeCell ref="O4:Q4"/>
    <mergeCell ref="AQ32:AR32"/>
    <mergeCell ref="V52:W52"/>
    <mergeCell ref="B83:E83"/>
    <mergeCell ref="AA43:AB43"/>
    <mergeCell ref="AE63:AF63"/>
    <mergeCell ref="AE7:AF7"/>
    <mergeCell ref="R11:S11"/>
    <mergeCell ref="D12:G12"/>
    <mergeCell ref="AQ26:AR26"/>
    <mergeCell ref="R38:S38"/>
    <mergeCell ref="F76:T76"/>
    <mergeCell ref="BB37:BC37"/>
    <mergeCell ref="AP69:AR69"/>
    <mergeCell ref="BC62:BE62"/>
    <mergeCell ref="R13:S13"/>
    <mergeCell ref="AZ66:BB66"/>
    <mergeCell ref="AL27:AP27"/>
    <mergeCell ref="AE71:AF71"/>
    <mergeCell ref="R4:S4"/>
    <mergeCell ref="AW65:BH65"/>
    <mergeCell ref="AA40:AB40"/>
    <mergeCell ref="AB60:AC60"/>
    <mergeCell ref="BB43:BC43"/>
    <mergeCell ref="AI54:AK54"/>
    <mergeCell ref="B37:D37"/>
    <mergeCell ref="R30:S30"/>
    <mergeCell ref="AL42:AN42"/>
    <mergeCell ref="I25:J25"/>
    <mergeCell ref="AA33:AB33"/>
    <mergeCell ref="AC33:AD33"/>
    <mergeCell ref="AL52:AN52"/>
    <mergeCell ref="AE33:AF33"/>
    <mergeCell ref="B47:E47"/>
    <mergeCell ref="I71:J71"/>
    <mergeCell ref="X73:AA73"/>
    <mergeCell ref="Y41:Z41"/>
    <mergeCell ref="AG40:AI40"/>
    <mergeCell ref="AQ24:AR24"/>
    <mergeCell ref="Q54:S54"/>
    <mergeCell ref="AS24:AT24"/>
    <mergeCell ref="Y10:Z11"/>
    <mergeCell ref="Q64:S64"/>
    <mergeCell ref="I65:J65"/>
    <mergeCell ref="V55:W55"/>
    <mergeCell ref="AC7:AD7"/>
    <mergeCell ref="Y43:Z43"/>
    <mergeCell ref="Q70:S70"/>
    <mergeCell ref="AL39:AN39"/>
    <mergeCell ref="AS40:AT40"/>
    <mergeCell ref="BC64:BE64"/>
    <mergeCell ref="I58:J58"/>
    <mergeCell ref="AT63:AX63"/>
    <mergeCell ref="R12:S12"/>
    <mergeCell ref="AE73:AF73"/>
    <mergeCell ref="T12:U12"/>
    <mergeCell ref="BD47:BH47"/>
    <mergeCell ref="T57:U57"/>
    <mergeCell ref="AG59:AO59"/>
    <mergeCell ref="K25:L25"/>
    <mergeCell ref="AG27:AI27"/>
    <mergeCell ref="O41:Q41"/>
    <mergeCell ref="AY62:BB62"/>
    <mergeCell ref="V53:W53"/>
    <mergeCell ref="M24:N24"/>
    <mergeCell ref="I15:N15"/>
    <mergeCell ref="AQ40:AR40"/>
    <mergeCell ref="L67:P67"/>
    <mergeCell ref="AG61:AO61"/>
    <mergeCell ref="O43:Q43"/>
    <mergeCell ref="T58:U58"/>
    <mergeCell ref="K29:L29"/>
    <mergeCell ref="AY44:BA44"/>
    <mergeCell ref="T54:U54"/>
    <mergeCell ref="I69:J70"/>
    <mergeCell ref="Q49:S49"/>
    <mergeCell ref="AW25:AX25"/>
    <mergeCell ref="K44:L44"/>
    <mergeCell ref="L62:P62"/>
    <mergeCell ref="AE51:AH51"/>
    <mergeCell ref="K31:L31"/>
    <mergeCell ref="AG62:AO62"/>
    <mergeCell ref="AC39:AD39"/>
    <mergeCell ref="M31:N31"/>
    <mergeCell ref="R27:S27"/>
    <mergeCell ref="AE39:AF39"/>
    <mergeCell ref="L64:P64"/>
    <mergeCell ref="AL54:AN54"/>
    <mergeCell ref="AO42:AP42"/>
    <mergeCell ref="T26:X26"/>
    <mergeCell ref="L51:P51"/>
    <mergeCell ref="T37:X37"/>
    <mergeCell ref="M35:N35"/>
    <mergeCell ref="AE43:AF43"/>
    <mergeCell ref="AL49:AN49"/>
    <mergeCell ref="Q62:S62"/>
    <mergeCell ref="AY32:BA32"/>
    <mergeCell ref="AL36:AN36"/>
    <mergeCell ref="I35:J35"/>
    <mergeCell ref="X3:Y3"/>
    <mergeCell ref="AL35:AN35"/>
    <mergeCell ref="AC4:AD4"/>
    <mergeCell ref="I43:J43"/>
    <mergeCell ref="AE64:AF64"/>
    <mergeCell ref="B5:D5"/>
    <mergeCell ref="BE29:BH29"/>
    <mergeCell ref="I16:K17"/>
    <mergeCell ref="K43:L43"/>
    <mergeCell ref="AS48:AT48"/>
    <mergeCell ref="AP66:AR66"/>
    <mergeCell ref="X5:Y5"/>
    <mergeCell ref="AL24:AP24"/>
    <mergeCell ref="B77:E77"/>
    <mergeCell ref="AB67:AC67"/>
    <mergeCell ref="BB44:BC44"/>
    <mergeCell ref="AU41:AV41"/>
    <mergeCell ref="AW41:AX41"/>
    <mergeCell ref="AY26:BA26"/>
    <mergeCell ref="L48:AC48"/>
    <mergeCell ref="AP68:AR68"/>
    <mergeCell ref="BD49:BH49"/>
    <mergeCell ref="T72:U72"/>
    <mergeCell ref="AB69:AC69"/>
    <mergeCell ref="AU43:AV43"/>
    <mergeCell ref="AP67:AR67"/>
    <mergeCell ref="AW43:AX43"/>
    <mergeCell ref="L49:P49"/>
    <mergeCell ref="T42:V42"/>
    <mergeCell ref="I59:J59"/>
    <mergeCell ref="AB62:AC62"/>
    <mergeCell ref="BB45:BC45"/>
    <mergeCell ref="V10:W10"/>
    <mergeCell ref="AG37:AI37"/>
    <mergeCell ref="AL33:AN33"/>
    <mergeCell ref="I41:J41"/>
    <mergeCell ref="AE62:AF62"/>
    <mergeCell ref="K41:L41"/>
    <mergeCell ref="BE30:BH30"/>
    <mergeCell ref="Q61:S61"/>
    <mergeCell ref="D66:E66"/>
    <mergeCell ref="AY31:BA31"/>
    <mergeCell ref="V65:W65"/>
    <mergeCell ref="AE48:AH48"/>
    <mergeCell ref="AW36:AX36"/>
    <mergeCell ref="B15:G15"/>
    <mergeCell ref="BE36:BH36"/>
    <mergeCell ref="AJ33:AK33"/>
    <mergeCell ref="V49:W49"/>
    <mergeCell ref="BG15:BH15"/>
    <mergeCell ref="AQ29:AR29"/>
    <mergeCell ref="AQ23:AR23"/>
    <mergeCell ref="Y37:Z37"/>
    <mergeCell ref="AS23:AT23"/>
    <mergeCell ref="AB57:AC57"/>
    <mergeCell ref="K28:L28"/>
    <mergeCell ref="AL29:AP29"/>
    <mergeCell ref="AC36:AD36"/>
    <mergeCell ref="BE31:BH31"/>
    <mergeCell ref="B61:E61"/>
    <mergeCell ref="Y40:Z40"/>
    <mergeCell ref="AL48:AN48"/>
    <mergeCell ref="BE12:BF12"/>
    <mergeCell ref="AE29:AF29"/>
    <mergeCell ref="B87:E87"/>
    <mergeCell ref="BE19:BF19"/>
    <mergeCell ref="AE36:AF36"/>
    <mergeCell ref="T67:U67"/>
    <mergeCell ref="L61:P61"/>
    <mergeCell ref="AP73:AR73"/>
    <mergeCell ref="G59:H59"/>
    <mergeCell ref="I30:J30"/>
    <mergeCell ref="K30:L30"/>
    <mergeCell ref="AL31:AP31"/>
    <mergeCell ref="Y42:Z42"/>
    <mergeCell ref="BG12:BH12"/>
    <mergeCell ref="AJ40:AK40"/>
    <mergeCell ref="T38:X38"/>
    <mergeCell ref="AE31:AF31"/>
    <mergeCell ref="X72:AA72"/>
    <mergeCell ref="BE14:BF14"/>
    <mergeCell ref="AJ27:AK27"/>
    <mergeCell ref="BG14:BH14"/>
    <mergeCell ref="T60:U60"/>
    <mergeCell ref="AO44:AP44"/>
    <mergeCell ref="AG38:AI38"/>
    <mergeCell ref="G64:H64"/>
    <mergeCell ref="M26:N26"/>
    <mergeCell ref="I64:J64"/>
    <mergeCell ref="BB27:BC27"/>
    <mergeCell ref="AJ35:AK35"/>
    <mergeCell ref="AL34:AN34"/>
    <mergeCell ref="B76:E76"/>
    <mergeCell ref="B12:C12"/>
    <mergeCell ref="K35:L35"/>
    <mergeCell ref="AU40:AV40"/>
    <mergeCell ref="BB30:BC30"/>
    <mergeCell ref="Z5:AB5"/>
    <mergeCell ref="R6:S6"/>
    <mergeCell ref="AZ5:BA5"/>
    <mergeCell ref="BB42:BC42"/>
    <mergeCell ref="BB5:BC5"/>
    <mergeCell ref="AB59:AC59"/>
    <mergeCell ref="G66:H66"/>
    <mergeCell ref="T62:U62"/>
    <mergeCell ref="I66:J66"/>
    <mergeCell ref="BB29:BC29"/>
    <mergeCell ref="AW33:AX33"/>
    <mergeCell ref="BB23:BC23"/>
    <mergeCell ref="B13:C13"/>
    <mergeCell ref="AG24:AI24"/>
    <mergeCell ref="T64:U64"/>
    <mergeCell ref="AB61:AC61"/>
    <mergeCell ref="E10:G11"/>
    <mergeCell ref="Y16:Z16"/>
    <mergeCell ref="AG42:AI42"/>
    <mergeCell ref="BC63:BE63"/>
    <mergeCell ref="AW35:AX35"/>
    <mergeCell ref="T51:U51"/>
    <mergeCell ref="V51:W51"/>
    <mergeCell ref="BB6:BC6"/>
    <mergeCell ref="AG26:AI26"/>
    <mergeCell ref="BB24:BC24"/>
    <mergeCell ref="BE34:BH34"/>
    <mergeCell ref="BE28:BH28"/>
    <mergeCell ref="Q59:S59"/>
    <mergeCell ref="T10:U10"/>
    <mergeCell ref="AY29:BA29"/>
    <mergeCell ref="B2:M2"/>
    <mergeCell ref="V73:W73"/>
    <mergeCell ref="G55:H56"/>
    <mergeCell ref="T24:X24"/>
    <mergeCell ref="BE6:BF6"/>
    <mergeCell ref="AS55:AT55"/>
    <mergeCell ref="AS38:AT38"/>
    <mergeCell ref="B68:E68"/>
    <mergeCell ref="K33:L33"/>
    <mergeCell ref="G71:H71"/>
    <mergeCell ref="AU38:AV38"/>
    <mergeCell ref="AE41:AF41"/>
    <mergeCell ref="AW38:AX38"/>
    <mergeCell ref="BB28:BC28"/>
    <mergeCell ref="AP60:AR60"/>
    <mergeCell ref="Z3:AB3"/>
    <mergeCell ref="F68:F73"/>
    <mergeCell ref="AJ42:AK42"/>
    <mergeCell ref="AT57:BH57"/>
    <mergeCell ref="I48:J49"/>
    <mergeCell ref="AP52:AQ52"/>
    <mergeCell ref="BE38:BH38"/>
    <mergeCell ref="D71:E71"/>
    <mergeCell ref="Y18:Z18"/>
    <mergeCell ref="BE17:BF17"/>
    <mergeCell ref="AE34:AF34"/>
    <mergeCell ref="O33:Q33"/>
    <mergeCell ref="F61:F66"/>
    <mergeCell ref="L59:P59"/>
    <mergeCell ref="AP71:AR71"/>
    <mergeCell ref="D73:E73"/>
    <mergeCell ref="AY54:BC54"/>
  </mergeCells>
  <dataValidations count="11">
    <dataValidation type="list" allowBlank="1" showErrorMessage="1" sqref="K7" xr:uid="{00000000-0002-0000-0000-000000000000}">
      <formula1>"None,9,8,7,6,5,4,3,2,1,0"</formula1>
    </dataValidation>
    <dataValidation type="list" allowBlank="1" showErrorMessage="1" sqref="AO38:AO41" xr:uid="{00000000-0002-0000-0000-000001000000}">
      <formula1>$AY$48:$AY$55</formula1>
    </dataValidation>
    <dataValidation type="list" allowBlank="1" showErrorMessage="1" sqref="W40:W42" xr:uid="{00000000-0002-0000-0000-000002000000}">
      <formula1>$AV$48:$AV$55</formula1>
    </dataValidation>
    <dataValidation type="list" allowBlank="1" showErrorMessage="1" sqref="Q50:Q73" xr:uid="{00000000-0002-0000-0000-000003000000}">
      <formula1>"Strength (STR),Agility (DEX),Willpower (WIL),Constitution (CON),Charisma (CHA),Inspiration/Intuition (INT),Luck,Education"</formula1>
    </dataValidation>
    <dataValidation type="list" allowBlank="1" showErrorMessage="1" sqref="V50:V73" xr:uid="{00000000-0002-0000-0000-000004000000}">
      <formula1>"None,Untrained,Trained,Proficient,Advanced,Expert,Scholar,Master"</formula1>
    </dataValidation>
    <dataValidation type="list" allowBlank="1" showErrorMessage="1" sqref="AO32:AO37" xr:uid="{00000000-0002-0000-0000-000005000000}">
      <formula1>$BE$22:$BE$45</formula1>
    </dataValidation>
    <dataValidation type="list" allowBlank="1" showErrorMessage="1" sqref="K6" xr:uid="{00000000-0002-0000-0000-000006000000}">
      <formula1>"Mortal,Low Sequence,Mid Sequence,High Sequence,Angel,Angel King,True God,Old One,Pillar"</formula1>
    </dataValidation>
    <dataValidation type="list" allowBlank="1" showErrorMessage="1" sqref="E26:E28" xr:uid="{00000000-0002-0000-0000-000007000000}">
      <formula1>$AP$48:$AP$55</formula1>
    </dataValidation>
    <dataValidation type="list" allowBlank="1" showErrorMessage="1" sqref="E37:E39" xr:uid="{00000000-0002-0000-0000-000008000000}">
      <formula1>$AS$48:$AS$55</formula1>
    </dataValidation>
    <dataValidation type="list" allowBlank="1" showErrorMessage="1" sqref="AO42:AO45" xr:uid="{00000000-0002-0000-0000-000009000000}">
      <formula1>$BD$48:$BD$55</formula1>
    </dataValidation>
    <dataValidation type="list" allowBlank="1" showErrorMessage="1" sqref="T19" xr:uid="{00000000-0002-0000-0000-00000A000000}">
      <formula1>"×,√"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showGridLines="0" zoomScale="55" zoomScaleNormal="55" workbookViewId="0">
      <selection activeCell="C4" sqref="C4"/>
    </sheetView>
  </sheetViews>
  <sheetFormatPr defaultColWidth="14.42578125" defaultRowHeight="15" x14ac:dyDescent="0.25"/>
  <cols>
    <col min="1" max="1" width="1.5703125" style="37" customWidth="1"/>
    <col min="2" max="2" width="39" style="37" customWidth="1"/>
    <col min="3" max="3" width="50.5703125" style="37" customWidth="1"/>
    <col min="4" max="4" width="1.5703125" style="37" customWidth="1"/>
    <col min="5" max="5" width="40.5703125" style="37" customWidth="1"/>
    <col min="6" max="6" width="1.5703125" style="37" customWidth="1"/>
    <col min="7" max="7" width="40.5703125" style="37" customWidth="1"/>
    <col min="8" max="8" width="1.5703125" style="37" customWidth="1"/>
    <col min="9" max="9" width="40.5703125" style="37" customWidth="1"/>
    <col min="10" max="10" width="1.5703125" style="37" customWidth="1"/>
    <col min="11" max="11" width="40.5703125" style="37" customWidth="1"/>
    <col min="12" max="15" width="3.5703125" style="37" customWidth="1"/>
    <col min="16" max="16" width="1.5703125" style="37" customWidth="1"/>
    <col min="17" max="28" width="3.5703125" style="37" customWidth="1"/>
    <col min="29" max="29" width="1.5703125" style="37" customWidth="1"/>
    <col min="30" max="31" width="3.5703125" style="37" customWidth="1"/>
  </cols>
  <sheetData>
    <row r="1" spans="1:31" ht="17.25" customHeight="1" x14ac:dyDescent="0.25">
      <c r="A1" s="15"/>
      <c r="B1" s="15"/>
      <c r="C1" s="16"/>
      <c r="D1" s="15"/>
      <c r="E1" s="17"/>
      <c r="F1" s="16"/>
      <c r="G1" s="17"/>
      <c r="H1" s="16"/>
      <c r="I1" s="17"/>
      <c r="J1" s="16"/>
      <c r="K1" s="17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ht="63" customHeight="1" x14ac:dyDescent="0.25">
      <c r="A2" s="15"/>
      <c r="B2" s="42" t="s">
        <v>227</v>
      </c>
      <c r="C2" s="44"/>
      <c r="D2" s="15"/>
      <c r="E2" s="18" t="s">
        <v>228</v>
      </c>
      <c r="F2" s="19"/>
      <c r="G2" s="18" t="s">
        <v>229</v>
      </c>
      <c r="H2" s="19"/>
      <c r="I2" s="18" t="s">
        <v>230</v>
      </c>
      <c r="J2" s="16"/>
      <c r="K2" s="18" t="s">
        <v>231</v>
      </c>
      <c r="L2" s="20"/>
      <c r="M2" s="20"/>
      <c r="N2" s="20"/>
      <c r="O2" s="20"/>
      <c r="P2" s="20"/>
      <c r="Q2" s="20"/>
      <c r="R2" s="20"/>
      <c r="S2" s="15"/>
      <c r="T2" s="20"/>
      <c r="U2" s="15"/>
      <c r="V2" s="15"/>
      <c r="W2" s="20"/>
      <c r="X2" s="20"/>
      <c r="Y2" s="20"/>
      <c r="Z2" s="20"/>
      <c r="AA2" s="20"/>
      <c r="AB2" s="20"/>
      <c r="AC2" s="15"/>
      <c r="AD2" s="15"/>
      <c r="AE2" s="20"/>
    </row>
    <row r="3" spans="1:31" ht="17.25" customHeight="1" x14ac:dyDescent="0.25">
      <c r="A3" s="15"/>
      <c r="B3" s="21" t="s">
        <v>9</v>
      </c>
      <c r="C3" s="22" t="s">
        <v>232</v>
      </c>
      <c r="D3" s="15"/>
      <c r="E3" s="23" t="s">
        <v>233</v>
      </c>
      <c r="F3" s="16"/>
      <c r="G3" s="23" t="s">
        <v>233</v>
      </c>
      <c r="H3" s="16"/>
      <c r="I3" s="23" t="s">
        <v>233</v>
      </c>
      <c r="J3" s="16"/>
      <c r="K3" s="23" t="s">
        <v>233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ht="36.75" customHeight="1" x14ac:dyDescent="0.25">
      <c r="A4" s="15"/>
      <c r="B4" s="24" t="s">
        <v>17</v>
      </c>
      <c r="C4" s="25"/>
      <c r="D4" s="15"/>
      <c r="E4" s="26"/>
      <c r="F4" s="16"/>
      <c r="G4" s="26"/>
      <c r="H4" s="16"/>
      <c r="I4" s="26"/>
      <c r="J4" s="16"/>
      <c r="K4" s="26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ht="36.75" customHeight="1" x14ac:dyDescent="0.25">
      <c r="A5" s="15"/>
      <c r="B5" s="24" t="s">
        <v>22</v>
      </c>
      <c r="C5" s="25"/>
      <c r="D5" s="15"/>
      <c r="E5" s="26"/>
      <c r="F5" s="16"/>
      <c r="G5" s="26"/>
      <c r="H5" s="16"/>
      <c r="I5" s="26"/>
      <c r="J5" s="16"/>
      <c r="K5" s="26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ht="36.75" customHeight="1" x14ac:dyDescent="0.25">
      <c r="A6" s="15"/>
      <c r="B6" s="24" t="s">
        <v>29</v>
      </c>
      <c r="C6" s="25"/>
      <c r="D6" s="15"/>
      <c r="E6" s="26"/>
      <c r="F6" s="16"/>
      <c r="G6" s="26"/>
      <c r="H6" s="16"/>
      <c r="I6" s="26"/>
      <c r="J6" s="16"/>
      <c r="K6" s="26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ht="36.75" customHeight="1" x14ac:dyDescent="0.25">
      <c r="A7" s="15"/>
      <c r="B7" s="24" t="s">
        <v>35</v>
      </c>
      <c r="C7" s="25"/>
      <c r="D7" s="15"/>
      <c r="E7" s="26"/>
      <c r="F7" s="16"/>
      <c r="G7" s="26"/>
      <c r="H7" s="16"/>
      <c r="I7" s="26"/>
      <c r="J7" s="16"/>
      <c r="K7" s="26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ht="36.75" customHeight="1" x14ac:dyDescent="0.25">
      <c r="A8" s="15"/>
      <c r="B8" s="24" t="s">
        <v>37</v>
      </c>
      <c r="C8" s="25"/>
      <c r="D8" s="15"/>
      <c r="E8" s="26"/>
      <c r="F8" s="16"/>
      <c r="G8" s="26"/>
      <c r="H8" s="16"/>
      <c r="I8" s="26"/>
      <c r="J8" s="16"/>
      <c r="K8" s="2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ht="36.75" customHeight="1" x14ac:dyDescent="0.25">
      <c r="A9" s="15"/>
      <c r="B9" s="24" t="s">
        <v>43</v>
      </c>
      <c r="C9" s="25"/>
      <c r="D9" s="15"/>
      <c r="E9" s="26"/>
      <c r="F9" s="16"/>
      <c r="G9" s="26"/>
      <c r="H9" s="16"/>
      <c r="I9" s="26"/>
      <c r="J9" s="16"/>
      <c r="K9" s="2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ht="36.75" customHeight="1" x14ac:dyDescent="0.25">
      <c r="A10" s="15"/>
      <c r="B10" s="24" t="s">
        <v>47</v>
      </c>
      <c r="C10" s="25"/>
      <c r="D10" s="15"/>
      <c r="E10" s="26"/>
      <c r="F10" s="16"/>
      <c r="G10" s="26"/>
      <c r="H10" s="16"/>
      <c r="I10" s="26"/>
      <c r="J10" s="16"/>
      <c r="K10" s="2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ht="36.75" customHeight="1" x14ac:dyDescent="0.25">
      <c r="A11" s="15"/>
      <c r="B11" s="24" t="s">
        <v>49</v>
      </c>
      <c r="C11" s="25"/>
      <c r="D11" s="15"/>
      <c r="E11" s="26"/>
      <c r="F11" s="16"/>
      <c r="G11" s="26"/>
      <c r="H11" s="16"/>
      <c r="I11" s="26"/>
      <c r="J11" s="16"/>
      <c r="K11" s="2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36.75" customHeight="1" x14ac:dyDescent="0.25">
      <c r="A12" s="15"/>
      <c r="B12" s="24" t="s">
        <v>53</v>
      </c>
      <c r="C12" s="25"/>
      <c r="D12" s="15"/>
      <c r="E12" s="26"/>
      <c r="F12" s="16"/>
      <c r="G12" s="26"/>
      <c r="H12" s="16"/>
      <c r="I12" s="26"/>
      <c r="J12" s="16"/>
      <c r="K12" s="2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36.75" customHeight="1" x14ac:dyDescent="0.25">
      <c r="A13" s="15"/>
      <c r="B13" s="27" t="s">
        <v>57</v>
      </c>
      <c r="C13" s="28"/>
      <c r="D13" s="15"/>
      <c r="E13" s="26"/>
      <c r="F13" s="16"/>
      <c r="G13" s="26"/>
      <c r="H13" s="16"/>
      <c r="I13" s="26"/>
      <c r="J13" s="16"/>
      <c r="K13" s="2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36.75" customHeight="1" x14ac:dyDescent="0.25">
      <c r="A14" s="15"/>
      <c r="B14" s="15"/>
      <c r="C14" s="29"/>
      <c r="D14" s="15"/>
      <c r="E14" s="26"/>
      <c r="F14" s="16"/>
      <c r="G14" s="26"/>
      <c r="H14" s="16"/>
      <c r="I14" s="26"/>
      <c r="J14" s="16"/>
      <c r="K14" s="26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ht="36.75" customHeight="1" x14ac:dyDescent="0.25">
      <c r="A15" s="15"/>
      <c r="B15" s="29"/>
      <c r="C15" s="29"/>
      <c r="D15" s="15"/>
      <c r="E15" s="26"/>
      <c r="F15" s="16"/>
      <c r="G15" s="26"/>
      <c r="H15" s="16"/>
      <c r="I15" s="26"/>
      <c r="J15" s="16"/>
      <c r="K15" s="26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36.75" customHeight="1" x14ac:dyDescent="0.25">
      <c r="A16" s="15"/>
      <c r="B16" s="29"/>
      <c r="C16" s="29"/>
      <c r="D16" s="15"/>
      <c r="E16" s="26"/>
      <c r="F16" s="16"/>
      <c r="G16" s="26"/>
      <c r="H16" s="16"/>
      <c r="I16" s="26"/>
      <c r="J16" s="16"/>
      <c r="K16" s="26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ht="36.75" customHeight="1" x14ac:dyDescent="0.25">
      <c r="A17" s="15"/>
      <c r="B17" s="29"/>
      <c r="C17" s="29"/>
      <c r="D17" s="15"/>
      <c r="E17" s="26"/>
      <c r="F17" s="16"/>
      <c r="G17" s="26"/>
      <c r="H17" s="16"/>
      <c r="I17" s="26"/>
      <c r="J17" s="16"/>
      <c r="K17" s="2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spans="1:31" ht="36.75" customHeight="1" x14ac:dyDescent="0.25">
      <c r="A18" s="15"/>
      <c r="B18" s="29"/>
      <c r="C18" s="29"/>
      <c r="D18" s="15"/>
      <c r="E18" s="26"/>
      <c r="F18" s="16"/>
      <c r="G18" s="26"/>
      <c r="H18" s="16"/>
      <c r="I18" s="26"/>
      <c r="J18" s="16"/>
      <c r="K18" s="2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ht="36.75" customHeight="1" x14ac:dyDescent="0.25">
      <c r="A19" s="15"/>
      <c r="B19" s="29"/>
      <c r="C19" s="29"/>
      <c r="D19" s="15"/>
      <c r="E19" s="26"/>
      <c r="F19" s="16"/>
      <c r="G19" s="26"/>
      <c r="H19" s="16"/>
      <c r="I19" s="26"/>
      <c r="J19" s="16"/>
      <c r="K19" s="26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36.75" customHeight="1" x14ac:dyDescent="0.25">
      <c r="A20" s="15"/>
      <c r="B20" s="29"/>
      <c r="C20" s="29"/>
      <c r="D20" s="15"/>
      <c r="E20" s="26"/>
      <c r="F20" s="16"/>
      <c r="G20" s="26"/>
      <c r="H20" s="16"/>
      <c r="I20" s="26"/>
      <c r="J20" s="16"/>
      <c r="K20" s="26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ht="36.75" customHeight="1" x14ac:dyDescent="0.25">
      <c r="A21" s="15"/>
      <c r="B21" s="29"/>
      <c r="C21" s="29"/>
      <c r="D21" s="15"/>
      <c r="E21" s="26"/>
      <c r="F21" s="16"/>
      <c r="G21" s="26"/>
      <c r="H21" s="16"/>
      <c r="I21" s="26"/>
      <c r="J21" s="16"/>
      <c r="K21" s="26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36.75" customHeight="1" x14ac:dyDescent="0.25">
      <c r="A22" s="15"/>
      <c r="B22" s="29"/>
      <c r="C22" s="29"/>
      <c r="D22" s="15"/>
      <c r="E22" s="26"/>
      <c r="F22" s="16"/>
      <c r="G22" s="26"/>
      <c r="H22" s="16"/>
      <c r="I22" s="26"/>
      <c r="J22" s="16"/>
      <c r="K22" s="2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1:31" ht="36.75" customHeight="1" x14ac:dyDescent="0.25">
      <c r="A23" s="15"/>
      <c r="B23" s="29"/>
      <c r="C23" s="29"/>
      <c r="D23" s="15"/>
      <c r="E23" s="26"/>
      <c r="F23" s="16"/>
      <c r="G23" s="26"/>
      <c r="H23" s="16"/>
      <c r="I23" s="26"/>
      <c r="J23" s="16"/>
      <c r="K23" s="2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ht="36.75" customHeight="1" x14ac:dyDescent="0.25">
      <c r="A24" s="15"/>
      <c r="B24" s="29"/>
      <c r="C24" s="29"/>
      <c r="D24" s="15"/>
      <c r="E24" s="26"/>
      <c r="F24" s="16"/>
      <c r="G24" s="26"/>
      <c r="H24" s="16"/>
      <c r="I24" s="26"/>
      <c r="J24" s="16"/>
      <c r="K24" s="26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spans="1:31" ht="36.75" customHeight="1" x14ac:dyDescent="0.25">
      <c r="A25" s="15"/>
      <c r="B25" s="29"/>
      <c r="C25" s="29"/>
      <c r="D25" s="15"/>
      <c r="E25" s="26"/>
      <c r="F25" s="16"/>
      <c r="G25" s="26"/>
      <c r="H25" s="16"/>
      <c r="I25" s="26"/>
      <c r="J25" s="16"/>
      <c r="K25" s="26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spans="1:31" ht="36.75" customHeight="1" x14ac:dyDescent="0.25">
      <c r="A26" s="15"/>
      <c r="B26" s="29"/>
      <c r="C26" s="29"/>
      <c r="D26" s="15"/>
      <c r="E26" s="26"/>
      <c r="F26" s="16"/>
      <c r="G26" s="26"/>
      <c r="H26" s="16"/>
      <c r="I26" s="26"/>
      <c r="J26" s="16"/>
      <c r="K26" s="26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1" ht="36.75" customHeight="1" x14ac:dyDescent="0.25">
      <c r="A27" s="15"/>
      <c r="B27" s="29"/>
      <c r="C27" s="29"/>
      <c r="D27" s="15"/>
      <c r="E27" s="26"/>
      <c r="F27" s="16"/>
      <c r="G27" s="26"/>
      <c r="H27" s="16"/>
      <c r="I27" s="26"/>
      <c r="J27" s="16"/>
      <c r="K27" s="26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1" ht="36.75" customHeight="1" x14ac:dyDescent="0.25">
      <c r="A28" s="15"/>
      <c r="B28" s="29"/>
      <c r="C28" s="29"/>
      <c r="D28" s="15"/>
      <c r="E28" s="26"/>
      <c r="F28" s="16"/>
      <c r="G28" s="26"/>
      <c r="H28" s="16"/>
      <c r="I28" s="26"/>
      <c r="J28" s="16"/>
      <c r="K28" s="26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1" ht="36.75" customHeight="1" x14ac:dyDescent="0.25">
      <c r="A29" s="15"/>
      <c r="B29" s="29"/>
      <c r="C29" s="29"/>
      <c r="D29" s="15"/>
      <c r="E29" s="26"/>
      <c r="F29" s="16"/>
      <c r="G29" s="26"/>
      <c r="H29" s="16"/>
      <c r="I29" s="26"/>
      <c r="J29" s="16"/>
      <c r="K29" s="2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31" ht="36.75" customHeight="1" x14ac:dyDescent="0.25">
      <c r="A30" s="15"/>
      <c r="B30" s="29"/>
      <c r="C30" s="29"/>
      <c r="D30" s="15"/>
      <c r="E30" s="26"/>
      <c r="F30" s="16"/>
      <c r="G30" s="26"/>
      <c r="H30" s="16"/>
      <c r="I30" s="26"/>
      <c r="J30" s="16"/>
      <c r="K30" s="2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spans="1:31" ht="36.75" customHeight="1" x14ac:dyDescent="0.25">
      <c r="A31" s="15"/>
      <c r="B31" s="29"/>
      <c r="C31" s="29"/>
      <c r="D31" s="15"/>
      <c r="E31" s="26"/>
      <c r="F31" s="16"/>
      <c r="G31" s="26"/>
      <c r="H31" s="16"/>
      <c r="I31" s="26"/>
      <c r="J31" s="16"/>
      <c r="K31" s="26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36.75" customHeight="1" x14ac:dyDescent="0.25">
      <c r="A32" s="15"/>
      <c r="B32" s="29"/>
      <c r="C32" s="29"/>
      <c r="D32" s="15"/>
      <c r="E32" s="26"/>
      <c r="F32" s="16"/>
      <c r="G32" s="26"/>
      <c r="H32" s="16"/>
      <c r="I32" s="26"/>
      <c r="J32" s="16"/>
      <c r="K32" s="2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36.75" customHeight="1" x14ac:dyDescent="0.25">
      <c r="A33" s="15"/>
      <c r="B33" s="29"/>
      <c r="C33" s="29"/>
      <c r="D33" s="15"/>
      <c r="E33" s="26"/>
      <c r="F33" s="16"/>
      <c r="G33" s="26"/>
      <c r="H33" s="16"/>
      <c r="I33" s="26"/>
      <c r="J33" s="16"/>
      <c r="K33" s="2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spans="1:31" ht="36.75" customHeight="1" x14ac:dyDescent="0.25">
      <c r="A34" s="15"/>
      <c r="B34" s="29"/>
      <c r="C34" s="29"/>
      <c r="D34" s="15"/>
      <c r="E34" s="26"/>
      <c r="F34" s="16"/>
      <c r="G34" s="26"/>
      <c r="H34" s="16"/>
      <c r="I34" s="26"/>
      <c r="J34" s="16"/>
      <c r="K34" s="26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spans="1:31" ht="36.75" customHeight="1" x14ac:dyDescent="0.25">
      <c r="A35" s="15"/>
      <c r="B35" s="29"/>
      <c r="C35" s="29"/>
      <c r="D35" s="15"/>
      <c r="E35" s="26"/>
      <c r="F35" s="16"/>
      <c r="G35" s="26"/>
      <c r="H35" s="16"/>
      <c r="I35" s="26"/>
      <c r="J35" s="16"/>
      <c r="K35" s="26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spans="1:31" ht="36.75" customHeight="1" x14ac:dyDescent="0.25">
      <c r="A36" s="15"/>
      <c r="B36" s="29"/>
      <c r="C36" s="29"/>
      <c r="D36" s="15"/>
      <c r="E36" s="26"/>
      <c r="F36" s="16"/>
      <c r="G36" s="26"/>
      <c r="H36" s="16"/>
      <c r="I36" s="26"/>
      <c r="J36" s="16"/>
      <c r="K36" s="26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spans="1:31" ht="36.75" customHeight="1" x14ac:dyDescent="0.25">
      <c r="A37" s="15"/>
      <c r="B37" s="29"/>
      <c r="C37" s="29"/>
      <c r="D37" s="15"/>
      <c r="E37" s="26"/>
      <c r="F37" s="16"/>
      <c r="G37" s="26"/>
      <c r="H37" s="16"/>
      <c r="I37" s="26"/>
      <c r="J37" s="16"/>
      <c r="K37" s="26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spans="1:31" ht="36.75" customHeight="1" x14ac:dyDescent="0.25">
      <c r="A38" s="15"/>
      <c r="B38" s="29"/>
      <c r="C38" s="29"/>
      <c r="D38" s="15"/>
      <c r="E38" s="26"/>
      <c r="F38" s="16"/>
      <c r="G38" s="26"/>
      <c r="H38" s="16"/>
      <c r="I38" s="26"/>
      <c r="J38" s="16"/>
      <c r="K38" s="2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spans="1:31" ht="36.75" customHeight="1" x14ac:dyDescent="0.25">
      <c r="A39" s="15"/>
      <c r="B39" s="29"/>
      <c r="C39" s="29"/>
      <c r="D39" s="15"/>
      <c r="E39" s="26"/>
      <c r="F39" s="16"/>
      <c r="G39" s="26"/>
      <c r="H39" s="16"/>
      <c r="I39" s="26"/>
      <c r="J39" s="16"/>
      <c r="K39" s="26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spans="1:31" ht="36.75" customHeight="1" x14ac:dyDescent="0.25">
      <c r="A40" s="15"/>
      <c r="B40" s="29"/>
      <c r="C40" s="29"/>
      <c r="D40" s="15"/>
      <c r="E40" s="26"/>
      <c r="F40" s="16"/>
      <c r="G40" s="26"/>
      <c r="H40" s="16"/>
      <c r="I40" s="26"/>
      <c r="J40" s="16"/>
      <c r="K40" s="2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spans="1:31" ht="36.75" customHeight="1" x14ac:dyDescent="0.25">
      <c r="A41" s="15"/>
      <c r="B41" s="29"/>
      <c r="C41" s="29"/>
      <c r="D41" s="15"/>
      <c r="E41" s="26"/>
      <c r="F41" s="16"/>
      <c r="G41" s="26"/>
      <c r="H41" s="16"/>
      <c r="I41" s="26"/>
      <c r="J41" s="16"/>
      <c r="K41" s="26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spans="1:31" ht="36.75" customHeight="1" x14ac:dyDescent="0.25">
      <c r="A42" s="15"/>
      <c r="B42" s="29"/>
      <c r="C42" s="29"/>
      <c r="D42" s="15"/>
      <c r="E42" s="26"/>
      <c r="F42" s="16"/>
      <c r="G42" s="26"/>
      <c r="H42" s="16"/>
      <c r="I42" s="26"/>
      <c r="J42" s="16"/>
      <c r="K42" s="26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spans="1:31" ht="36.75" customHeight="1" x14ac:dyDescent="0.25">
      <c r="A43" s="15"/>
      <c r="B43" s="29"/>
      <c r="C43" s="29"/>
      <c r="D43" s="15"/>
      <c r="E43" s="26"/>
      <c r="F43" s="16"/>
      <c r="G43" s="26"/>
      <c r="H43" s="16"/>
      <c r="I43" s="26"/>
      <c r="J43" s="16"/>
      <c r="K43" s="26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spans="1:31" ht="36.75" customHeight="1" x14ac:dyDescent="0.25">
      <c r="A44" s="15"/>
      <c r="B44" s="29"/>
      <c r="C44" s="29"/>
      <c r="D44" s="15"/>
      <c r="E44" s="26"/>
      <c r="F44" s="16"/>
      <c r="G44" s="26"/>
      <c r="H44" s="16"/>
      <c r="I44" s="26"/>
      <c r="J44" s="16"/>
      <c r="K44" s="26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36.75" customHeight="1" x14ac:dyDescent="0.25">
      <c r="A45" s="15"/>
      <c r="B45" s="29"/>
      <c r="C45" s="29"/>
      <c r="D45" s="15"/>
      <c r="E45" s="26"/>
      <c r="F45" s="16"/>
      <c r="G45" s="26"/>
      <c r="H45" s="16"/>
      <c r="I45" s="26"/>
      <c r="J45" s="16"/>
      <c r="K45" s="26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spans="1:31" ht="36.75" customHeight="1" x14ac:dyDescent="0.25">
      <c r="A46" s="15"/>
      <c r="B46" s="29"/>
      <c r="C46" s="29"/>
      <c r="D46" s="15"/>
      <c r="E46" s="26"/>
      <c r="F46" s="16"/>
      <c r="G46" s="26"/>
      <c r="H46" s="16"/>
      <c r="I46" s="26"/>
      <c r="J46" s="16"/>
      <c r="K46" s="26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spans="1:31" ht="36.75" customHeight="1" x14ac:dyDescent="0.25">
      <c r="A47" s="15"/>
      <c r="B47" s="29"/>
      <c r="C47" s="29"/>
      <c r="D47" s="15"/>
      <c r="E47" s="26"/>
      <c r="F47" s="16"/>
      <c r="G47" s="26"/>
      <c r="H47" s="16"/>
      <c r="I47" s="26"/>
      <c r="J47" s="16"/>
      <c r="K47" s="26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spans="1:31" ht="36.75" customHeight="1" x14ac:dyDescent="0.25">
      <c r="A48" s="15"/>
      <c r="B48" s="29"/>
      <c r="C48" s="29"/>
      <c r="D48" s="15"/>
      <c r="E48" s="26"/>
      <c r="F48" s="16"/>
      <c r="G48" s="26"/>
      <c r="H48" s="16"/>
      <c r="I48" s="26"/>
      <c r="J48" s="16"/>
      <c r="K48" s="26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spans="1:31" ht="36.75" customHeight="1" x14ac:dyDescent="0.25">
      <c r="A49" s="15"/>
      <c r="B49" s="29"/>
      <c r="C49" s="29"/>
      <c r="D49" s="15"/>
      <c r="E49" s="26"/>
      <c r="F49" s="16"/>
      <c r="G49" s="26"/>
      <c r="H49" s="16"/>
      <c r="I49" s="26"/>
      <c r="J49" s="16"/>
      <c r="K49" s="26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36.75" customHeight="1" x14ac:dyDescent="0.25">
      <c r="A50" s="15"/>
      <c r="B50" s="29"/>
      <c r="C50" s="29"/>
      <c r="D50" s="15"/>
      <c r="E50" s="26"/>
      <c r="F50" s="16"/>
      <c r="G50" s="26"/>
      <c r="H50" s="16"/>
      <c r="I50" s="26"/>
      <c r="J50" s="16"/>
      <c r="K50" s="2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spans="1:31" ht="36.75" customHeight="1" x14ac:dyDescent="0.25">
      <c r="A51" s="15"/>
      <c r="B51" s="29"/>
      <c r="C51" s="29"/>
      <c r="D51" s="15"/>
      <c r="E51" s="26"/>
      <c r="F51" s="16"/>
      <c r="G51" s="26"/>
      <c r="H51" s="16"/>
      <c r="I51" s="26"/>
      <c r="J51" s="16"/>
      <c r="K51" s="26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spans="1:31" ht="36.75" customHeight="1" x14ac:dyDescent="0.25">
      <c r="A52" s="15"/>
      <c r="B52" s="29"/>
      <c r="C52" s="29"/>
      <c r="D52" s="15"/>
      <c r="E52" s="26"/>
      <c r="F52" s="16"/>
      <c r="G52" s="26"/>
      <c r="H52" s="16"/>
      <c r="I52" s="26"/>
      <c r="J52" s="16"/>
      <c r="K52" s="2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spans="1:31" ht="36.75" customHeight="1" x14ac:dyDescent="0.25">
      <c r="A53" s="15"/>
      <c r="B53" s="29"/>
      <c r="C53" s="29"/>
      <c r="D53" s="15"/>
      <c r="E53" s="26"/>
      <c r="F53" s="16"/>
      <c r="G53" s="26"/>
      <c r="H53" s="16"/>
      <c r="I53" s="26"/>
      <c r="J53" s="16"/>
      <c r="K53" s="26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spans="1:31" ht="36.75" customHeight="1" x14ac:dyDescent="0.25">
      <c r="A54" s="15"/>
      <c r="B54" s="29"/>
      <c r="C54" s="29"/>
      <c r="D54" s="15"/>
      <c r="E54" s="26"/>
      <c r="F54" s="16"/>
      <c r="G54" s="26"/>
      <c r="H54" s="16"/>
      <c r="I54" s="26"/>
      <c r="J54" s="16"/>
      <c r="K54" s="26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spans="1:31" ht="36.75" customHeight="1" x14ac:dyDescent="0.25">
      <c r="A55" s="15"/>
      <c r="B55" s="29"/>
      <c r="C55" s="29"/>
      <c r="D55" s="15"/>
      <c r="E55" s="26"/>
      <c r="F55" s="16"/>
      <c r="G55" s="26"/>
      <c r="H55" s="16"/>
      <c r="I55" s="26"/>
      <c r="J55" s="16"/>
      <c r="K55" s="26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spans="1:31" ht="36.75" customHeight="1" x14ac:dyDescent="0.25">
      <c r="A56" s="15"/>
      <c r="B56" s="29"/>
      <c r="C56" s="29"/>
      <c r="D56" s="15"/>
      <c r="E56" s="26"/>
      <c r="F56" s="16"/>
      <c r="G56" s="26"/>
      <c r="H56" s="16"/>
      <c r="I56" s="26"/>
      <c r="J56" s="16"/>
      <c r="K56" s="26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spans="1:31" ht="36.75" customHeight="1" x14ac:dyDescent="0.25">
      <c r="A57" s="15"/>
      <c r="B57" s="29"/>
      <c r="C57" s="29"/>
      <c r="D57" s="15"/>
      <c r="E57" s="26"/>
      <c r="F57" s="16"/>
      <c r="G57" s="26"/>
      <c r="H57" s="16"/>
      <c r="I57" s="26"/>
      <c r="J57" s="16"/>
      <c r="K57" s="26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1" ht="36.75" customHeight="1" x14ac:dyDescent="0.25">
      <c r="A58" s="15"/>
      <c r="B58" s="29"/>
      <c r="C58" s="29"/>
      <c r="D58" s="15"/>
      <c r="E58" s="26"/>
      <c r="F58" s="16"/>
      <c r="G58" s="26"/>
      <c r="H58" s="16"/>
      <c r="I58" s="26"/>
      <c r="J58" s="16"/>
      <c r="K58" s="26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spans="1:31" ht="36.75" customHeight="1" x14ac:dyDescent="0.25">
      <c r="A59" s="15"/>
      <c r="B59" s="29"/>
      <c r="C59" s="29"/>
      <c r="D59" s="15"/>
      <c r="E59" s="26"/>
      <c r="F59" s="16"/>
      <c r="G59" s="26"/>
      <c r="H59" s="16"/>
      <c r="I59" s="26"/>
      <c r="J59" s="16"/>
      <c r="K59" s="26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spans="1:31" ht="36.75" customHeight="1" x14ac:dyDescent="0.25">
      <c r="A60" s="15"/>
      <c r="B60" s="29"/>
      <c r="C60" s="29"/>
      <c r="D60" s="15"/>
      <c r="E60" s="26"/>
      <c r="F60" s="16"/>
      <c r="G60" s="26"/>
      <c r="H60" s="16"/>
      <c r="I60" s="26"/>
      <c r="J60" s="16"/>
      <c r="K60" s="2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1" ht="36.75" customHeight="1" x14ac:dyDescent="0.25">
      <c r="A61" s="15"/>
      <c r="B61" s="29"/>
      <c r="C61" s="29"/>
      <c r="D61" s="15"/>
      <c r="E61" s="26"/>
      <c r="F61" s="16"/>
      <c r="G61" s="26"/>
      <c r="H61" s="16"/>
      <c r="I61" s="26"/>
      <c r="J61" s="16"/>
      <c r="K61" s="26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spans="1:31" ht="36.75" customHeight="1" x14ac:dyDescent="0.25">
      <c r="A62" s="15"/>
      <c r="B62" s="29"/>
      <c r="C62" s="29"/>
      <c r="D62" s="15"/>
      <c r="E62" s="26"/>
      <c r="F62" s="16"/>
      <c r="G62" s="26"/>
      <c r="H62" s="16"/>
      <c r="I62" s="26"/>
      <c r="J62" s="16"/>
      <c r="K62" s="26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ht="36.75" customHeight="1" x14ac:dyDescent="0.25">
      <c r="A63" s="15"/>
      <c r="B63" s="29"/>
      <c r="C63" s="29"/>
      <c r="D63" s="15"/>
      <c r="E63" s="26"/>
      <c r="F63" s="16"/>
      <c r="G63" s="26"/>
      <c r="H63" s="16"/>
      <c r="I63" s="26"/>
      <c r="J63" s="16"/>
      <c r="K63" s="26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36.75" customHeight="1" x14ac:dyDescent="0.25">
      <c r="A64" s="15"/>
      <c r="B64" s="29"/>
      <c r="C64" s="29"/>
      <c r="D64" s="15"/>
      <c r="E64" s="26"/>
      <c r="F64" s="16"/>
      <c r="G64" s="26"/>
      <c r="H64" s="16"/>
      <c r="I64" s="26"/>
      <c r="J64" s="16"/>
      <c r="K64" s="26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spans="1:31" ht="36.75" customHeight="1" x14ac:dyDescent="0.25">
      <c r="A65" s="15"/>
      <c r="B65" s="29"/>
      <c r="C65" s="29"/>
      <c r="D65" s="15"/>
      <c r="E65" s="26"/>
      <c r="F65" s="16"/>
      <c r="G65" s="26"/>
      <c r="H65" s="16"/>
      <c r="I65" s="26"/>
      <c r="J65" s="16"/>
      <c r="K65" s="26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spans="1:31" ht="36.75" customHeight="1" x14ac:dyDescent="0.25">
      <c r="A66" s="15"/>
      <c r="B66" s="29"/>
      <c r="C66" s="29"/>
      <c r="D66" s="15"/>
      <c r="E66" s="26"/>
      <c r="F66" s="16"/>
      <c r="G66" s="26"/>
      <c r="H66" s="16"/>
      <c r="I66" s="26"/>
      <c r="J66" s="16"/>
      <c r="K66" s="26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36.75" customHeight="1" x14ac:dyDescent="0.25">
      <c r="A67" s="15"/>
      <c r="B67" s="29"/>
      <c r="C67" s="29"/>
      <c r="D67" s="15"/>
      <c r="E67" s="26"/>
      <c r="F67" s="16"/>
      <c r="G67" s="26"/>
      <c r="H67" s="16"/>
      <c r="I67" s="26"/>
      <c r="J67" s="16"/>
      <c r="K67" s="26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spans="1:31" ht="36.75" customHeight="1" x14ac:dyDescent="0.25">
      <c r="A68" s="15"/>
      <c r="B68" s="29"/>
      <c r="C68" s="29"/>
      <c r="D68" s="15"/>
      <c r="E68" s="26"/>
      <c r="F68" s="16"/>
      <c r="G68" s="26"/>
      <c r="H68" s="16"/>
      <c r="I68" s="26"/>
      <c r="J68" s="16"/>
      <c r="K68" s="26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36.75" customHeight="1" x14ac:dyDescent="0.25">
      <c r="A69" s="15"/>
      <c r="B69" s="29"/>
      <c r="C69" s="29"/>
      <c r="D69" s="15"/>
      <c r="E69" s="26"/>
      <c r="F69" s="16"/>
      <c r="G69" s="26"/>
      <c r="H69" s="16"/>
      <c r="I69" s="26"/>
      <c r="J69" s="16"/>
      <c r="K69" s="26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36.75" customHeight="1" x14ac:dyDescent="0.25">
      <c r="A70" s="15"/>
      <c r="B70" s="29"/>
      <c r="C70" s="29"/>
      <c r="D70" s="15"/>
      <c r="E70" s="26"/>
      <c r="F70" s="16"/>
      <c r="G70" s="26"/>
      <c r="H70" s="16"/>
      <c r="I70" s="26"/>
      <c r="J70" s="16"/>
      <c r="K70" s="26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36.75" customHeight="1" x14ac:dyDescent="0.25">
      <c r="A71" s="15"/>
      <c r="B71" s="29"/>
      <c r="C71" s="29"/>
      <c r="D71" s="15"/>
      <c r="E71" s="26"/>
      <c r="F71" s="16"/>
      <c r="G71" s="26"/>
      <c r="H71" s="16"/>
      <c r="I71" s="26"/>
      <c r="J71" s="16"/>
      <c r="K71" s="26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36.75" customHeight="1" x14ac:dyDescent="0.25">
      <c r="A72" s="15"/>
      <c r="B72" s="29"/>
      <c r="C72" s="29"/>
      <c r="D72" s="15"/>
      <c r="E72" s="26"/>
      <c r="F72" s="16"/>
      <c r="G72" s="26"/>
      <c r="H72" s="16"/>
      <c r="I72" s="26"/>
      <c r="J72" s="16"/>
      <c r="K72" s="26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36.75" customHeight="1" x14ac:dyDescent="0.25">
      <c r="A73" s="15"/>
      <c r="B73" s="29"/>
      <c r="C73" s="29"/>
      <c r="D73" s="15"/>
      <c r="E73" s="26"/>
      <c r="F73" s="16"/>
      <c r="G73" s="26"/>
      <c r="H73" s="16"/>
      <c r="I73" s="26"/>
      <c r="J73" s="16"/>
      <c r="K73" s="26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36.75" customHeight="1" x14ac:dyDescent="0.25">
      <c r="A74" s="15"/>
      <c r="B74" s="29"/>
      <c r="C74" s="29"/>
      <c r="D74" s="15"/>
      <c r="E74" s="26"/>
      <c r="F74" s="16"/>
      <c r="G74" s="26"/>
      <c r="H74" s="16"/>
      <c r="I74" s="26"/>
      <c r="J74" s="16"/>
      <c r="K74" s="26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36.75" customHeight="1" x14ac:dyDescent="0.25">
      <c r="A75" s="15"/>
      <c r="B75" s="29"/>
      <c r="C75" s="29"/>
      <c r="D75" s="15"/>
      <c r="E75" s="26"/>
      <c r="F75" s="16"/>
      <c r="G75" s="26"/>
      <c r="H75" s="16"/>
      <c r="I75" s="26"/>
      <c r="J75" s="16"/>
      <c r="K75" s="26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36.75" customHeight="1" x14ac:dyDescent="0.25">
      <c r="A76" s="15"/>
      <c r="B76" s="29"/>
      <c r="C76" s="29"/>
      <c r="D76" s="15"/>
      <c r="E76" s="26"/>
      <c r="F76" s="16"/>
      <c r="G76" s="26"/>
      <c r="H76" s="16"/>
      <c r="I76" s="26"/>
      <c r="J76" s="16"/>
      <c r="K76" s="26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36.75" customHeight="1" x14ac:dyDescent="0.25">
      <c r="A77" s="15"/>
      <c r="B77" s="29"/>
      <c r="C77" s="29"/>
      <c r="D77" s="15"/>
      <c r="E77" s="26"/>
      <c r="F77" s="16"/>
      <c r="G77" s="26"/>
      <c r="H77" s="16"/>
      <c r="I77" s="26"/>
      <c r="J77" s="16"/>
      <c r="K77" s="26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36.75" customHeight="1" x14ac:dyDescent="0.25">
      <c r="A78" s="15"/>
      <c r="B78" s="29"/>
      <c r="C78" s="29"/>
      <c r="D78" s="15"/>
      <c r="E78" s="26"/>
      <c r="F78" s="16"/>
      <c r="G78" s="26"/>
      <c r="H78" s="16"/>
      <c r="I78" s="26"/>
      <c r="J78" s="16"/>
      <c r="K78" s="26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36.75" customHeight="1" x14ac:dyDescent="0.25">
      <c r="A79" s="15"/>
      <c r="B79" s="29"/>
      <c r="C79" s="29"/>
      <c r="D79" s="15"/>
      <c r="E79" s="26"/>
      <c r="F79" s="16"/>
      <c r="G79" s="26"/>
      <c r="H79" s="16"/>
      <c r="I79" s="26"/>
      <c r="J79" s="16"/>
      <c r="K79" s="26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36.75" customHeight="1" x14ac:dyDescent="0.25">
      <c r="A80" s="15"/>
      <c r="B80" s="29"/>
      <c r="C80" s="29"/>
      <c r="D80" s="15"/>
      <c r="E80" s="26"/>
      <c r="F80" s="16"/>
      <c r="G80" s="26"/>
      <c r="H80" s="16"/>
      <c r="I80" s="26"/>
      <c r="J80" s="16"/>
      <c r="K80" s="26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36.75" customHeight="1" x14ac:dyDescent="0.25">
      <c r="A81" s="15"/>
      <c r="B81" s="29"/>
      <c r="C81" s="29"/>
      <c r="D81" s="15"/>
      <c r="E81" s="26"/>
      <c r="F81" s="16"/>
      <c r="G81" s="26"/>
      <c r="H81" s="16"/>
      <c r="I81" s="26"/>
      <c r="J81" s="16"/>
      <c r="K81" s="26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36.75" customHeight="1" x14ac:dyDescent="0.25">
      <c r="A82" s="15"/>
      <c r="B82" s="29"/>
      <c r="C82" s="29"/>
      <c r="D82" s="15"/>
      <c r="E82" s="26"/>
      <c r="F82" s="16"/>
      <c r="G82" s="26"/>
      <c r="H82" s="16"/>
      <c r="I82" s="26"/>
      <c r="J82" s="16"/>
      <c r="K82" s="2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36.75" customHeight="1" x14ac:dyDescent="0.25">
      <c r="A83" s="15"/>
      <c r="B83" s="29"/>
      <c r="C83" s="29"/>
      <c r="D83" s="15"/>
      <c r="E83" s="26"/>
      <c r="F83" s="16"/>
      <c r="G83" s="26"/>
      <c r="H83" s="16"/>
      <c r="I83" s="26"/>
      <c r="J83" s="16"/>
      <c r="K83" s="2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36.75" customHeight="1" x14ac:dyDescent="0.25">
      <c r="A84" s="15"/>
      <c r="B84" s="29"/>
      <c r="C84" s="29"/>
      <c r="D84" s="15"/>
      <c r="E84" s="26"/>
      <c r="F84" s="16"/>
      <c r="G84" s="26"/>
      <c r="H84" s="16"/>
      <c r="I84" s="26"/>
      <c r="J84" s="16"/>
      <c r="K84" s="2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36.75" customHeight="1" x14ac:dyDescent="0.25">
      <c r="A85" s="15"/>
      <c r="B85" s="29"/>
      <c r="C85" s="29"/>
      <c r="D85" s="15"/>
      <c r="E85" s="26"/>
      <c r="F85" s="16"/>
      <c r="G85" s="26"/>
      <c r="H85" s="16"/>
      <c r="I85" s="26"/>
      <c r="J85" s="16"/>
      <c r="K85" s="26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36.75" customHeight="1" x14ac:dyDescent="0.25">
      <c r="A86" s="15"/>
      <c r="B86" s="29"/>
      <c r="C86" s="29"/>
      <c r="D86" s="15"/>
      <c r="E86" s="26"/>
      <c r="F86" s="16"/>
      <c r="G86" s="26"/>
      <c r="H86" s="16"/>
      <c r="I86" s="26"/>
      <c r="J86" s="16"/>
      <c r="K86" s="2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36.75" customHeight="1" x14ac:dyDescent="0.25">
      <c r="A87" s="15"/>
      <c r="B87" s="29"/>
      <c r="C87" s="29"/>
      <c r="D87" s="15"/>
      <c r="E87" s="26"/>
      <c r="F87" s="16"/>
      <c r="G87" s="26"/>
      <c r="H87" s="16"/>
      <c r="I87" s="26"/>
      <c r="J87" s="16"/>
      <c r="K87" s="2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36.75" customHeight="1" x14ac:dyDescent="0.25">
      <c r="A88" s="15"/>
      <c r="B88" s="29"/>
      <c r="C88" s="29"/>
      <c r="D88" s="15"/>
      <c r="E88" s="26"/>
      <c r="F88" s="16"/>
      <c r="G88" s="26"/>
      <c r="H88" s="16"/>
      <c r="I88" s="26"/>
      <c r="J88" s="16"/>
      <c r="K88" s="26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36.75" customHeight="1" x14ac:dyDescent="0.25">
      <c r="A89" s="15"/>
      <c r="B89" s="29"/>
      <c r="C89" s="29"/>
      <c r="D89" s="15"/>
      <c r="E89" s="26"/>
      <c r="F89" s="16"/>
      <c r="G89" s="26"/>
      <c r="H89" s="16"/>
      <c r="I89" s="26"/>
      <c r="J89" s="16"/>
      <c r="K89" s="2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36.75" customHeight="1" x14ac:dyDescent="0.25">
      <c r="A90" s="15"/>
      <c r="B90" s="29"/>
      <c r="C90" s="29"/>
      <c r="D90" s="15"/>
      <c r="E90" s="26"/>
      <c r="F90" s="16"/>
      <c r="G90" s="26"/>
      <c r="H90" s="16"/>
      <c r="I90" s="26"/>
      <c r="J90" s="16"/>
      <c r="K90" s="2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36.75" customHeight="1" x14ac:dyDescent="0.25">
      <c r="A91" s="15"/>
      <c r="B91" s="29"/>
      <c r="C91" s="29"/>
      <c r="D91" s="15"/>
      <c r="E91" s="26"/>
      <c r="F91" s="16"/>
      <c r="G91" s="26"/>
      <c r="H91" s="16"/>
      <c r="I91" s="26"/>
      <c r="J91" s="16"/>
      <c r="K91" s="2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36.75" customHeight="1" x14ac:dyDescent="0.25">
      <c r="A92" s="15"/>
      <c r="B92" s="29"/>
      <c r="C92" s="29"/>
      <c r="D92" s="15"/>
      <c r="E92" s="26"/>
      <c r="F92" s="16"/>
      <c r="G92" s="26"/>
      <c r="H92" s="16"/>
      <c r="I92" s="26"/>
      <c r="J92" s="16"/>
      <c r="K92" s="2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36.75" customHeight="1" x14ac:dyDescent="0.25">
      <c r="A93" s="15"/>
      <c r="B93" s="29"/>
      <c r="C93" s="29"/>
      <c r="D93" s="15"/>
      <c r="E93" s="26"/>
      <c r="F93" s="16"/>
      <c r="G93" s="26"/>
      <c r="H93" s="16"/>
      <c r="I93" s="26"/>
      <c r="J93" s="16"/>
      <c r="K93" s="2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36.75" customHeight="1" x14ac:dyDescent="0.25">
      <c r="A94" s="15"/>
      <c r="B94" s="29"/>
      <c r="C94" s="29"/>
      <c r="D94" s="15"/>
      <c r="E94" s="26"/>
      <c r="F94" s="16"/>
      <c r="G94" s="26"/>
      <c r="H94" s="16"/>
      <c r="I94" s="26"/>
      <c r="J94" s="16"/>
      <c r="K94" s="26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36.75" customHeight="1" x14ac:dyDescent="0.25">
      <c r="A95" s="15"/>
      <c r="B95" s="29"/>
      <c r="C95" s="29"/>
      <c r="D95" s="15"/>
      <c r="E95" s="26"/>
      <c r="F95" s="16"/>
      <c r="G95" s="26"/>
      <c r="H95" s="16"/>
      <c r="I95" s="26"/>
      <c r="J95" s="16"/>
      <c r="K95" s="26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36.75" customHeight="1" x14ac:dyDescent="0.25">
      <c r="A96" s="15"/>
      <c r="B96" s="29"/>
      <c r="C96" s="29"/>
      <c r="D96" s="15"/>
      <c r="E96" s="26"/>
      <c r="F96" s="16"/>
      <c r="G96" s="26"/>
      <c r="H96" s="16"/>
      <c r="I96" s="26"/>
      <c r="J96" s="16"/>
      <c r="K96" s="26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36.75" customHeight="1" x14ac:dyDescent="0.25">
      <c r="A97" s="15"/>
      <c r="B97" s="29"/>
      <c r="C97" s="29"/>
      <c r="D97" s="15"/>
      <c r="E97" s="26"/>
      <c r="F97" s="16"/>
      <c r="G97" s="26"/>
      <c r="H97" s="16"/>
      <c r="I97" s="26"/>
      <c r="J97" s="16"/>
      <c r="K97" s="2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36.75" customHeight="1" x14ac:dyDescent="0.25">
      <c r="A98" s="15"/>
      <c r="B98" s="29"/>
      <c r="C98" s="29"/>
      <c r="D98" s="15"/>
      <c r="E98" s="26"/>
      <c r="F98" s="16"/>
      <c r="G98" s="26"/>
      <c r="H98" s="16"/>
      <c r="I98" s="26"/>
      <c r="J98" s="16"/>
      <c r="K98" s="26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36.75" customHeight="1" x14ac:dyDescent="0.25">
      <c r="A99" s="15"/>
      <c r="B99" s="29"/>
      <c r="C99" s="29"/>
      <c r="D99" s="15"/>
      <c r="E99" s="26"/>
      <c r="F99" s="16"/>
      <c r="G99" s="26"/>
      <c r="H99" s="16"/>
      <c r="I99" s="26"/>
      <c r="J99" s="16"/>
      <c r="K99" s="26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36.75" customHeight="1" x14ac:dyDescent="0.25">
      <c r="A100" s="15"/>
      <c r="B100" s="29"/>
      <c r="C100" s="29"/>
      <c r="D100" s="15"/>
      <c r="E100" s="26"/>
      <c r="F100" s="16"/>
      <c r="G100" s="26"/>
      <c r="H100" s="16"/>
      <c r="I100" s="26"/>
      <c r="J100" s="16"/>
      <c r="K100" s="26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36.75" customHeight="1" x14ac:dyDescent="0.25">
      <c r="A101" s="15"/>
      <c r="B101" s="29"/>
      <c r="C101" s="29"/>
      <c r="D101" s="15"/>
      <c r="E101" s="26"/>
      <c r="F101" s="16"/>
      <c r="G101" s="26"/>
      <c r="H101" s="16"/>
      <c r="I101" s="26"/>
      <c r="J101" s="16"/>
      <c r="K101" s="26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36.75" customHeight="1" x14ac:dyDescent="0.25">
      <c r="A102" s="15"/>
      <c r="B102" s="29"/>
      <c r="C102" s="29"/>
      <c r="D102" s="15"/>
      <c r="E102" s="26"/>
      <c r="F102" s="16"/>
      <c r="G102" s="26"/>
      <c r="H102" s="16"/>
      <c r="I102" s="26"/>
      <c r="J102" s="16"/>
      <c r="K102" s="26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36.75" customHeight="1" x14ac:dyDescent="0.25">
      <c r="A103" s="15"/>
      <c r="B103" s="29"/>
      <c r="C103" s="29"/>
      <c r="D103" s="15"/>
      <c r="E103" s="26"/>
      <c r="F103" s="16"/>
      <c r="G103" s="26"/>
      <c r="H103" s="16"/>
      <c r="I103" s="26"/>
      <c r="J103" s="16"/>
      <c r="K103" s="26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17.25" customHeight="1" x14ac:dyDescent="0.25">
      <c r="A104" s="15"/>
      <c r="B104" s="15"/>
      <c r="C104" s="16"/>
      <c r="D104" s="15"/>
      <c r="E104" s="26"/>
      <c r="F104" s="16"/>
      <c r="G104" s="26"/>
      <c r="H104" s="16"/>
      <c r="I104" s="26"/>
      <c r="J104" s="16"/>
      <c r="K104" s="26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17.25" customHeight="1" x14ac:dyDescent="0.25">
      <c r="A105" s="15"/>
      <c r="B105" s="15"/>
      <c r="C105" s="16"/>
      <c r="D105" s="15"/>
      <c r="E105" s="26"/>
      <c r="F105" s="16"/>
      <c r="G105" s="26"/>
      <c r="H105" s="16"/>
      <c r="I105" s="26"/>
      <c r="J105" s="16"/>
      <c r="K105" s="2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17.25" customHeight="1" x14ac:dyDescent="0.25">
      <c r="A106" s="15"/>
      <c r="B106" s="15"/>
      <c r="C106" s="16"/>
      <c r="D106" s="15"/>
      <c r="E106" s="26"/>
      <c r="F106" s="16"/>
      <c r="G106" s="26"/>
      <c r="H106" s="16"/>
      <c r="I106" s="26"/>
      <c r="J106" s="16"/>
      <c r="K106" s="26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17.25" customHeight="1" x14ac:dyDescent="0.25">
      <c r="A107" s="15"/>
      <c r="B107" s="15"/>
      <c r="C107" s="16"/>
      <c r="D107" s="15"/>
      <c r="E107" s="26"/>
      <c r="F107" s="16"/>
      <c r="G107" s="26"/>
      <c r="H107" s="16"/>
      <c r="I107" s="26"/>
      <c r="J107" s="16"/>
      <c r="K107" s="26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17.25" customHeight="1" x14ac:dyDescent="0.25">
      <c r="A108" s="15"/>
      <c r="B108" s="15"/>
      <c r="C108" s="16"/>
      <c r="D108" s="15"/>
      <c r="E108" s="26"/>
      <c r="F108" s="16"/>
      <c r="G108" s="26"/>
      <c r="H108" s="16"/>
      <c r="I108" s="26"/>
      <c r="J108" s="16"/>
      <c r="K108" s="26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17.25" customHeight="1" x14ac:dyDescent="0.25">
      <c r="A109" s="15"/>
      <c r="B109" s="15"/>
      <c r="C109" s="16"/>
      <c r="D109" s="15"/>
      <c r="E109" s="26"/>
      <c r="F109" s="16"/>
      <c r="G109" s="26"/>
      <c r="H109" s="16"/>
      <c r="I109" s="26"/>
      <c r="J109" s="16"/>
      <c r="K109" s="26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17.25" customHeight="1" x14ac:dyDescent="0.25">
      <c r="A110" s="15"/>
      <c r="B110" s="15"/>
      <c r="C110" s="16"/>
      <c r="D110" s="15"/>
      <c r="E110" s="26"/>
      <c r="F110" s="16"/>
      <c r="G110" s="26"/>
      <c r="H110" s="16"/>
      <c r="I110" s="26"/>
      <c r="J110" s="16"/>
      <c r="K110" s="26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17.25" customHeight="1" x14ac:dyDescent="0.25">
      <c r="A111" s="15"/>
      <c r="B111" s="15"/>
      <c r="C111" s="16"/>
      <c r="D111" s="15"/>
      <c r="E111" s="26"/>
      <c r="F111" s="16"/>
      <c r="G111" s="26"/>
      <c r="H111" s="16"/>
      <c r="I111" s="26"/>
      <c r="J111" s="16"/>
      <c r="K111" s="26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17.25" customHeight="1" x14ac:dyDescent="0.25">
      <c r="A112" s="15"/>
      <c r="B112" s="15"/>
      <c r="C112" s="16"/>
      <c r="D112" s="15"/>
      <c r="E112" s="26"/>
      <c r="F112" s="16"/>
      <c r="G112" s="26"/>
      <c r="H112" s="16"/>
      <c r="I112" s="26"/>
      <c r="J112" s="16"/>
      <c r="K112" s="26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7.25" customHeight="1" x14ac:dyDescent="0.25">
      <c r="A113" s="15"/>
      <c r="B113" s="15"/>
      <c r="C113" s="16"/>
      <c r="D113" s="15"/>
      <c r="E113" s="26"/>
      <c r="F113" s="16"/>
      <c r="G113" s="26"/>
      <c r="H113" s="16"/>
      <c r="I113" s="26"/>
      <c r="J113" s="16"/>
      <c r="K113" s="26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7.25" customHeight="1" x14ac:dyDescent="0.25">
      <c r="A114" s="15"/>
      <c r="B114" s="15"/>
      <c r="C114" s="16"/>
      <c r="D114" s="15"/>
      <c r="E114" s="26"/>
      <c r="F114" s="16"/>
      <c r="G114" s="26"/>
      <c r="H114" s="16"/>
      <c r="I114" s="26"/>
      <c r="J114" s="16"/>
      <c r="K114" s="26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17.25" customHeight="1" x14ac:dyDescent="0.25">
      <c r="A115" s="15"/>
      <c r="B115" s="15"/>
      <c r="C115" s="16"/>
      <c r="D115" s="15"/>
      <c r="E115" s="26"/>
      <c r="F115" s="16"/>
      <c r="G115" s="26"/>
      <c r="H115" s="16"/>
      <c r="I115" s="26"/>
      <c r="J115" s="16"/>
      <c r="K115" s="26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17.25" customHeight="1" x14ac:dyDescent="0.25">
      <c r="A116" s="15"/>
      <c r="B116" s="15"/>
      <c r="C116" s="16"/>
      <c r="D116" s="15"/>
      <c r="E116" s="26"/>
      <c r="F116" s="16"/>
      <c r="G116" s="26"/>
      <c r="H116" s="16"/>
      <c r="I116" s="26"/>
      <c r="J116" s="16"/>
      <c r="K116" s="26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17.25" customHeight="1" x14ac:dyDescent="0.25">
      <c r="A117" s="15"/>
      <c r="B117" s="15"/>
      <c r="C117" s="16"/>
      <c r="D117" s="15"/>
      <c r="E117" s="26"/>
      <c r="F117" s="16"/>
      <c r="G117" s="26"/>
      <c r="H117" s="16"/>
      <c r="I117" s="26"/>
      <c r="J117" s="16"/>
      <c r="K117" s="26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17.25" customHeight="1" x14ac:dyDescent="0.25">
      <c r="A118" s="15"/>
      <c r="B118" s="15"/>
      <c r="C118" s="16"/>
      <c r="D118" s="15"/>
      <c r="E118" s="26"/>
      <c r="F118" s="16"/>
      <c r="G118" s="26"/>
      <c r="H118" s="16"/>
      <c r="I118" s="26"/>
      <c r="J118" s="16"/>
      <c r="K118" s="26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17.25" customHeight="1" x14ac:dyDescent="0.25">
      <c r="A119" s="15"/>
      <c r="B119" s="15"/>
      <c r="C119" s="16"/>
      <c r="D119" s="15"/>
      <c r="E119" s="26"/>
      <c r="F119" s="16"/>
      <c r="G119" s="26"/>
      <c r="H119" s="16"/>
      <c r="I119" s="26"/>
      <c r="J119" s="16"/>
      <c r="K119" s="26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17.25" customHeight="1" x14ac:dyDescent="0.25">
      <c r="A120" s="15"/>
      <c r="B120" s="15"/>
      <c r="C120" s="16"/>
      <c r="D120" s="15"/>
      <c r="E120" s="26"/>
      <c r="F120" s="16"/>
      <c r="G120" s="26"/>
      <c r="H120" s="16"/>
      <c r="I120" s="26"/>
      <c r="J120" s="16"/>
      <c r="K120" s="26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17.25" customHeight="1" x14ac:dyDescent="0.25">
      <c r="A121" s="15"/>
      <c r="B121" s="15"/>
      <c r="C121" s="16"/>
      <c r="D121" s="15"/>
      <c r="E121" s="26"/>
      <c r="F121" s="16"/>
      <c r="G121" s="26"/>
      <c r="H121" s="16"/>
      <c r="I121" s="26"/>
      <c r="J121" s="16"/>
      <c r="K121" s="26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17.25" customHeight="1" x14ac:dyDescent="0.25">
      <c r="A122" s="15"/>
      <c r="B122" s="15"/>
      <c r="C122" s="16"/>
      <c r="D122" s="15"/>
      <c r="E122" s="26"/>
      <c r="F122" s="16"/>
      <c r="G122" s="26"/>
      <c r="H122" s="16"/>
      <c r="I122" s="26"/>
      <c r="J122" s="16"/>
      <c r="K122" s="26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17.25" customHeight="1" x14ac:dyDescent="0.25">
      <c r="A123" s="15"/>
      <c r="B123" s="15"/>
      <c r="C123" s="16"/>
      <c r="D123" s="15"/>
      <c r="E123" s="26"/>
      <c r="F123" s="16"/>
      <c r="G123" s="26"/>
      <c r="H123" s="16"/>
      <c r="I123" s="26"/>
      <c r="J123" s="16"/>
      <c r="K123" s="26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17.25" customHeight="1" x14ac:dyDescent="0.25">
      <c r="A124" s="15"/>
      <c r="B124" s="15"/>
      <c r="C124" s="16"/>
      <c r="D124" s="15"/>
      <c r="E124" s="26"/>
      <c r="F124" s="16"/>
      <c r="G124" s="26"/>
      <c r="H124" s="16"/>
      <c r="I124" s="26"/>
      <c r="J124" s="16"/>
      <c r="K124" s="26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ht="17.25" customHeight="1" x14ac:dyDescent="0.25">
      <c r="A125" s="15"/>
      <c r="B125" s="15"/>
      <c r="C125" s="16"/>
      <c r="D125" s="15"/>
      <c r="E125" s="26"/>
      <c r="F125" s="16"/>
      <c r="G125" s="26"/>
      <c r="H125" s="16"/>
      <c r="I125" s="26"/>
      <c r="J125" s="16"/>
      <c r="K125" s="26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ht="17.25" customHeight="1" x14ac:dyDescent="0.25">
      <c r="A126" s="15"/>
      <c r="B126" s="15"/>
      <c r="C126" s="16"/>
      <c r="D126" s="15"/>
      <c r="E126" s="26"/>
      <c r="F126" s="16"/>
      <c r="G126" s="26"/>
      <c r="H126" s="16"/>
      <c r="I126" s="26"/>
      <c r="J126" s="16"/>
      <c r="K126" s="26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ht="17.25" customHeight="1" x14ac:dyDescent="0.25">
      <c r="A127" s="15"/>
      <c r="B127" s="15"/>
      <c r="C127" s="16"/>
      <c r="D127" s="15"/>
      <c r="E127" s="26"/>
      <c r="F127" s="16"/>
      <c r="G127" s="26"/>
      <c r="H127" s="16"/>
      <c r="I127" s="26"/>
      <c r="J127" s="16"/>
      <c r="K127" s="26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7.25" customHeight="1" x14ac:dyDescent="0.25">
      <c r="A128" s="15"/>
      <c r="B128" s="15"/>
      <c r="C128" s="16"/>
      <c r="D128" s="15"/>
      <c r="E128" s="26"/>
      <c r="F128" s="16"/>
      <c r="G128" s="26"/>
      <c r="H128" s="16"/>
      <c r="I128" s="26"/>
      <c r="J128" s="16"/>
      <c r="K128" s="26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ht="17.25" customHeight="1" x14ac:dyDescent="0.25">
      <c r="A129" s="15"/>
      <c r="B129" s="15"/>
      <c r="C129" s="16"/>
      <c r="D129" s="15"/>
      <c r="E129" s="26"/>
      <c r="F129" s="16"/>
      <c r="G129" s="26"/>
      <c r="H129" s="16"/>
      <c r="I129" s="26"/>
      <c r="J129" s="16"/>
      <c r="K129" s="26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7.25" customHeight="1" x14ac:dyDescent="0.25">
      <c r="A130" s="15"/>
      <c r="B130" s="15"/>
      <c r="C130" s="16"/>
      <c r="D130" s="15"/>
      <c r="E130" s="26"/>
      <c r="F130" s="16"/>
      <c r="G130" s="26"/>
      <c r="H130" s="16"/>
      <c r="I130" s="26"/>
      <c r="J130" s="16"/>
      <c r="K130" s="2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ht="17.25" customHeight="1" x14ac:dyDescent="0.25">
      <c r="A131" s="15"/>
      <c r="B131" s="15"/>
      <c r="C131" s="16"/>
      <c r="D131" s="15"/>
      <c r="E131" s="26"/>
      <c r="F131" s="16"/>
      <c r="G131" s="26"/>
      <c r="H131" s="16"/>
      <c r="I131" s="26"/>
      <c r="J131" s="16"/>
      <c r="K131" s="26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ht="17.25" customHeight="1" x14ac:dyDescent="0.25">
      <c r="A132" s="15"/>
      <c r="B132" s="15"/>
      <c r="C132" s="16"/>
      <c r="D132" s="15"/>
      <c r="E132" s="26"/>
      <c r="F132" s="16"/>
      <c r="G132" s="26"/>
      <c r="H132" s="16"/>
      <c r="I132" s="26"/>
      <c r="J132" s="16"/>
      <c r="K132" s="26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ht="17.25" customHeight="1" x14ac:dyDescent="0.25">
      <c r="A133" s="15"/>
      <c r="B133" s="15"/>
      <c r="C133" s="16"/>
      <c r="D133" s="15"/>
      <c r="E133" s="26"/>
      <c r="F133" s="16"/>
      <c r="G133" s="26"/>
      <c r="H133" s="16"/>
      <c r="I133" s="26"/>
      <c r="J133" s="16"/>
      <c r="K133" s="26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ht="17.25" customHeight="1" x14ac:dyDescent="0.25">
      <c r="A134" s="15"/>
      <c r="B134" s="15"/>
      <c r="C134" s="16"/>
      <c r="D134" s="15"/>
      <c r="E134" s="26"/>
      <c r="F134" s="16"/>
      <c r="G134" s="26"/>
      <c r="H134" s="16"/>
      <c r="I134" s="26"/>
      <c r="J134" s="16"/>
      <c r="K134" s="26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ht="17.25" customHeight="1" x14ac:dyDescent="0.25">
      <c r="A135" s="15"/>
      <c r="B135" s="15"/>
      <c r="C135" s="16"/>
      <c r="D135" s="15"/>
      <c r="E135" s="26"/>
      <c r="F135" s="16"/>
      <c r="G135" s="26"/>
      <c r="H135" s="16"/>
      <c r="I135" s="26"/>
      <c r="J135" s="16"/>
      <c r="K135" s="26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ht="17.25" customHeight="1" x14ac:dyDescent="0.25">
      <c r="A136" s="15"/>
      <c r="B136" s="15"/>
      <c r="C136" s="16"/>
      <c r="D136" s="15"/>
      <c r="E136" s="26"/>
      <c r="F136" s="16"/>
      <c r="G136" s="26"/>
      <c r="H136" s="16"/>
      <c r="I136" s="26"/>
      <c r="J136" s="16"/>
      <c r="K136" s="26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ht="17.25" customHeight="1" x14ac:dyDescent="0.25">
      <c r="A137" s="15"/>
      <c r="B137" s="15"/>
      <c r="C137" s="16"/>
      <c r="D137" s="15"/>
      <c r="E137" s="26"/>
      <c r="F137" s="16"/>
      <c r="G137" s="26"/>
      <c r="H137" s="16"/>
      <c r="I137" s="26"/>
      <c r="J137" s="16"/>
      <c r="K137" s="26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ht="17.25" customHeight="1" x14ac:dyDescent="0.25">
      <c r="A138" s="15"/>
      <c r="B138" s="15"/>
      <c r="C138" s="16"/>
      <c r="D138" s="15"/>
      <c r="E138" s="26"/>
      <c r="F138" s="16"/>
      <c r="G138" s="26"/>
      <c r="H138" s="16"/>
      <c r="I138" s="26"/>
      <c r="J138" s="16"/>
      <c r="K138" s="26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ht="17.25" customHeight="1" x14ac:dyDescent="0.25">
      <c r="A139" s="15"/>
      <c r="B139" s="15"/>
      <c r="C139" s="16"/>
      <c r="D139" s="15"/>
      <c r="E139" s="26"/>
      <c r="F139" s="16"/>
      <c r="G139" s="26"/>
      <c r="H139" s="16"/>
      <c r="I139" s="26"/>
      <c r="J139" s="16"/>
      <c r="K139" s="26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ht="17.25" customHeight="1" x14ac:dyDescent="0.25">
      <c r="A140" s="15"/>
      <c r="B140" s="15"/>
      <c r="C140" s="16"/>
      <c r="D140" s="15"/>
      <c r="E140" s="26"/>
      <c r="F140" s="16"/>
      <c r="G140" s="26"/>
      <c r="H140" s="16"/>
      <c r="I140" s="26"/>
      <c r="J140" s="16"/>
      <c r="K140" s="26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spans="1:31" ht="17.25" customHeight="1" x14ac:dyDescent="0.25">
      <c r="A141" s="15"/>
      <c r="B141" s="15"/>
      <c r="C141" s="16"/>
      <c r="D141" s="15"/>
      <c r="E141" s="26"/>
      <c r="F141" s="16"/>
      <c r="G141" s="26"/>
      <c r="H141" s="16"/>
      <c r="I141" s="26"/>
      <c r="J141" s="16"/>
      <c r="K141" s="26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spans="1:31" ht="17.25" customHeight="1" x14ac:dyDescent="0.25">
      <c r="A142" s="15"/>
      <c r="B142" s="15"/>
      <c r="C142" s="16"/>
      <c r="D142" s="15"/>
      <c r="E142" s="26"/>
      <c r="F142" s="16"/>
      <c r="G142" s="26"/>
      <c r="H142" s="16"/>
      <c r="I142" s="26"/>
      <c r="J142" s="16"/>
      <c r="K142" s="26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spans="1:31" ht="17.25" customHeight="1" x14ac:dyDescent="0.25">
      <c r="A143" s="15"/>
      <c r="B143" s="15"/>
      <c r="C143" s="16"/>
      <c r="D143" s="15"/>
      <c r="E143" s="26"/>
      <c r="F143" s="16"/>
      <c r="G143" s="26"/>
      <c r="H143" s="16"/>
      <c r="I143" s="26"/>
      <c r="J143" s="16"/>
      <c r="K143" s="26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spans="1:31" ht="17.25" customHeight="1" x14ac:dyDescent="0.25">
      <c r="A144" s="15"/>
      <c r="B144" s="15"/>
      <c r="C144" s="16"/>
      <c r="D144" s="15"/>
      <c r="E144" s="26"/>
      <c r="F144" s="16"/>
      <c r="G144" s="26"/>
      <c r="H144" s="16"/>
      <c r="I144" s="26"/>
      <c r="J144" s="16"/>
      <c r="K144" s="26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7.25" customHeight="1" x14ac:dyDescent="0.25">
      <c r="A145" s="15"/>
      <c r="B145" s="15"/>
      <c r="C145" s="16"/>
      <c r="D145" s="15"/>
      <c r="E145" s="26"/>
      <c r="F145" s="16"/>
      <c r="G145" s="26"/>
      <c r="H145" s="16"/>
      <c r="I145" s="26"/>
      <c r="J145" s="16"/>
      <c r="K145" s="26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spans="1:31" ht="17.25" customHeight="1" x14ac:dyDescent="0.25">
      <c r="A146" s="15"/>
      <c r="B146" s="15"/>
      <c r="C146" s="16"/>
      <c r="D146" s="15"/>
      <c r="E146" s="26"/>
      <c r="F146" s="16"/>
      <c r="G146" s="26"/>
      <c r="H146" s="16"/>
      <c r="I146" s="26"/>
      <c r="J146" s="16"/>
      <c r="K146" s="26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spans="1:31" ht="17.25" customHeight="1" x14ac:dyDescent="0.25">
      <c r="A147" s="15"/>
      <c r="B147" s="15"/>
      <c r="C147" s="16"/>
      <c r="D147" s="15"/>
      <c r="E147" s="26"/>
      <c r="F147" s="16"/>
      <c r="G147" s="26"/>
      <c r="H147" s="16"/>
      <c r="I147" s="26"/>
      <c r="J147" s="16"/>
      <c r="K147" s="26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spans="1:31" ht="17.25" customHeight="1" x14ac:dyDescent="0.25">
      <c r="A148" s="15"/>
      <c r="B148" s="15"/>
      <c r="C148" s="16"/>
      <c r="D148" s="15"/>
      <c r="E148" s="26"/>
      <c r="F148" s="16"/>
      <c r="G148" s="26"/>
      <c r="H148" s="16"/>
      <c r="I148" s="26"/>
      <c r="J148" s="16"/>
      <c r="K148" s="26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spans="1:31" ht="17.25" customHeight="1" x14ac:dyDescent="0.25">
      <c r="A149" s="15"/>
      <c r="B149" s="15"/>
      <c r="C149" s="16"/>
      <c r="D149" s="15"/>
      <c r="E149" s="26"/>
      <c r="F149" s="16"/>
      <c r="G149" s="26"/>
      <c r="H149" s="16"/>
      <c r="I149" s="26"/>
      <c r="J149" s="16"/>
      <c r="K149" s="26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spans="1:31" ht="17.25" customHeight="1" x14ac:dyDescent="0.25">
      <c r="A150" s="15"/>
      <c r="B150" s="15"/>
      <c r="C150" s="16"/>
      <c r="D150" s="15"/>
      <c r="E150" s="26"/>
      <c r="F150" s="16"/>
      <c r="G150" s="26"/>
      <c r="H150" s="16"/>
      <c r="I150" s="26"/>
      <c r="J150" s="16"/>
      <c r="K150" s="26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spans="1:31" ht="17.25" customHeight="1" x14ac:dyDescent="0.25">
      <c r="A151" s="15"/>
      <c r="B151" s="15"/>
      <c r="C151" s="16"/>
      <c r="D151" s="15"/>
      <c r="E151" s="26"/>
      <c r="F151" s="16"/>
      <c r="G151" s="26"/>
      <c r="H151" s="16"/>
      <c r="I151" s="26"/>
      <c r="J151" s="16"/>
      <c r="K151" s="26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spans="1:31" ht="17.25" customHeight="1" x14ac:dyDescent="0.25">
      <c r="A152" s="15"/>
      <c r="B152" s="15"/>
      <c r="C152" s="16"/>
      <c r="D152" s="15"/>
      <c r="E152" s="26"/>
      <c r="F152" s="16"/>
      <c r="G152" s="26"/>
      <c r="H152" s="16"/>
      <c r="I152" s="26"/>
      <c r="J152" s="16"/>
      <c r="K152" s="26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spans="1:31" ht="17.25" customHeight="1" x14ac:dyDescent="0.25">
      <c r="A153" s="15"/>
      <c r="B153" s="15"/>
      <c r="C153" s="16"/>
      <c r="D153" s="15"/>
      <c r="E153" s="26"/>
      <c r="F153" s="16"/>
      <c r="G153" s="26"/>
      <c r="H153" s="16"/>
      <c r="I153" s="26"/>
      <c r="J153" s="16"/>
      <c r="K153" s="26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spans="1:31" ht="17.25" customHeight="1" x14ac:dyDescent="0.25">
      <c r="A154" s="15"/>
      <c r="B154" s="15"/>
      <c r="C154" s="16"/>
      <c r="D154" s="15"/>
      <c r="E154" s="26"/>
      <c r="F154" s="16"/>
      <c r="G154" s="26"/>
      <c r="H154" s="16"/>
      <c r="I154" s="26"/>
      <c r="J154" s="16"/>
      <c r="K154" s="26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spans="1:31" ht="17.25" customHeight="1" x14ac:dyDescent="0.25">
      <c r="A155" s="15"/>
      <c r="B155" s="15"/>
      <c r="C155" s="16"/>
      <c r="D155" s="15"/>
      <c r="E155" s="26"/>
      <c r="F155" s="16"/>
      <c r="G155" s="26"/>
      <c r="H155" s="16"/>
      <c r="I155" s="26"/>
      <c r="J155" s="16"/>
      <c r="K155" s="26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spans="1:31" ht="17.25" customHeight="1" x14ac:dyDescent="0.25">
      <c r="A156" s="15"/>
      <c r="B156" s="15"/>
      <c r="C156" s="16"/>
      <c r="D156" s="15"/>
      <c r="E156" s="26"/>
      <c r="F156" s="16"/>
      <c r="G156" s="26"/>
      <c r="H156" s="16"/>
      <c r="I156" s="26"/>
      <c r="J156" s="16"/>
      <c r="K156" s="26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spans="1:31" ht="17.25" customHeight="1" x14ac:dyDescent="0.25">
      <c r="A157" s="15"/>
      <c r="B157" s="15"/>
      <c r="C157" s="16"/>
      <c r="D157" s="15"/>
      <c r="E157" s="26"/>
      <c r="F157" s="16"/>
      <c r="G157" s="26"/>
      <c r="H157" s="16"/>
      <c r="I157" s="26"/>
      <c r="J157" s="16"/>
      <c r="K157" s="26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spans="1:31" ht="17.25" customHeight="1" x14ac:dyDescent="0.25">
      <c r="A158" s="15"/>
      <c r="B158" s="15"/>
      <c r="C158" s="16"/>
      <c r="D158" s="15"/>
      <c r="E158" s="26"/>
      <c r="F158" s="16"/>
      <c r="G158" s="26"/>
      <c r="H158" s="16"/>
      <c r="I158" s="26"/>
      <c r="J158" s="16"/>
      <c r="K158" s="26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spans="1:31" ht="17.25" customHeight="1" x14ac:dyDescent="0.25">
      <c r="A159" s="15"/>
      <c r="B159" s="15"/>
      <c r="C159" s="16"/>
      <c r="D159" s="15"/>
      <c r="E159" s="26"/>
      <c r="F159" s="16"/>
      <c r="G159" s="26"/>
      <c r="H159" s="16"/>
      <c r="I159" s="26"/>
      <c r="J159" s="16"/>
      <c r="K159" s="26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7.25" customHeight="1" x14ac:dyDescent="0.25">
      <c r="A160" s="15"/>
      <c r="B160" s="15"/>
      <c r="C160" s="16"/>
      <c r="D160" s="15"/>
      <c r="E160" s="26"/>
      <c r="F160" s="16"/>
      <c r="G160" s="26"/>
      <c r="H160" s="16"/>
      <c r="I160" s="26"/>
      <c r="J160" s="16"/>
      <c r="K160" s="26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spans="1:31" ht="17.25" customHeight="1" x14ac:dyDescent="0.25">
      <c r="A161" s="15"/>
      <c r="B161" s="15"/>
      <c r="C161" s="16"/>
      <c r="D161" s="15"/>
      <c r="E161" s="26"/>
      <c r="F161" s="16"/>
      <c r="G161" s="26"/>
      <c r="H161" s="16"/>
      <c r="I161" s="26"/>
      <c r="J161" s="16"/>
      <c r="K161" s="2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spans="1:31" ht="17.25" customHeight="1" x14ac:dyDescent="0.25">
      <c r="A162" s="15"/>
      <c r="B162" s="15"/>
      <c r="C162" s="16"/>
      <c r="D162" s="15"/>
      <c r="E162" s="26"/>
      <c r="F162" s="16"/>
      <c r="G162" s="26"/>
      <c r="H162" s="16"/>
      <c r="I162" s="26"/>
      <c r="J162" s="16"/>
      <c r="K162" s="2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spans="1:31" ht="17.25" customHeight="1" x14ac:dyDescent="0.25">
      <c r="A163" s="15"/>
      <c r="B163" s="15"/>
      <c r="C163" s="16"/>
      <c r="D163" s="15"/>
      <c r="E163" s="26"/>
      <c r="F163" s="16"/>
      <c r="G163" s="26"/>
      <c r="H163" s="16"/>
      <c r="I163" s="26"/>
      <c r="J163" s="16"/>
      <c r="K163" s="26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spans="1:31" ht="17.25" customHeight="1" x14ac:dyDescent="0.25">
      <c r="A164" s="15"/>
      <c r="B164" s="15"/>
      <c r="C164" s="16"/>
      <c r="D164" s="15"/>
      <c r="E164" s="26"/>
      <c r="F164" s="16"/>
      <c r="G164" s="26"/>
      <c r="H164" s="16"/>
      <c r="I164" s="26"/>
      <c r="J164" s="16"/>
      <c r="K164" s="26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spans="1:31" ht="17.25" customHeight="1" x14ac:dyDescent="0.25">
      <c r="A165" s="15"/>
      <c r="B165" s="15"/>
      <c r="C165" s="16"/>
      <c r="D165" s="15"/>
      <c r="E165" s="26"/>
      <c r="F165" s="16"/>
      <c r="G165" s="26"/>
      <c r="H165" s="16"/>
      <c r="I165" s="26"/>
      <c r="J165" s="16"/>
      <c r="K165" s="26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spans="1:31" ht="17.25" customHeight="1" x14ac:dyDescent="0.25">
      <c r="A166" s="15"/>
      <c r="B166" s="15"/>
      <c r="C166" s="16"/>
      <c r="D166" s="15"/>
      <c r="E166" s="26"/>
      <c r="F166" s="16"/>
      <c r="G166" s="26"/>
      <c r="H166" s="16"/>
      <c r="I166" s="26"/>
      <c r="J166" s="16"/>
      <c r="K166" s="26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spans="1:31" ht="17.25" customHeight="1" x14ac:dyDescent="0.25">
      <c r="A167" s="15"/>
      <c r="B167" s="15"/>
      <c r="C167" s="16"/>
      <c r="D167" s="15"/>
      <c r="E167" s="26"/>
      <c r="F167" s="16"/>
      <c r="G167" s="26"/>
      <c r="H167" s="16"/>
      <c r="I167" s="26"/>
      <c r="J167" s="16"/>
      <c r="K167" s="26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spans="1:31" ht="17.25" customHeight="1" x14ac:dyDescent="0.25">
      <c r="A168" s="15"/>
      <c r="B168" s="15"/>
      <c r="C168" s="16"/>
      <c r="D168" s="15"/>
      <c r="E168" s="26"/>
      <c r="F168" s="16"/>
      <c r="G168" s="26"/>
      <c r="H168" s="16"/>
      <c r="I168" s="26"/>
      <c r="J168" s="16"/>
      <c r="K168" s="26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spans="1:31" ht="17.25" customHeight="1" x14ac:dyDescent="0.25">
      <c r="A169" s="15"/>
      <c r="B169" s="15"/>
      <c r="C169" s="16"/>
      <c r="D169" s="15"/>
      <c r="E169" s="26"/>
      <c r="F169" s="16"/>
      <c r="G169" s="26"/>
      <c r="H169" s="16"/>
      <c r="I169" s="26"/>
      <c r="J169" s="16"/>
      <c r="K169" s="26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spans="1:31" ht="17.25" customHeight="1" x14ac:dyDescent="0.25">
      <c r="A170" s="15"/>
      <c r="B170" s="15"/>
      <c r="C170" s="16"/>
      <c r="D170" s="15"/>
      <c r="E170" s="26"/>
      <c r="F170" s="16"/>
      <c r="G170" s="26"/>
      <c r="H170" s="16"/>
      <c r="I170" s="26"/>
      <c r="J170" s="16"/>
      <c r="K170" s="26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spans="1:31" ht="17.25" customHeight="1" x14ac:dyDescent="0.25">
      <c r="A171" s="15"/>
      <c r="B171" s="15"/>
      <c r="C171" s="16"/>
      <c r="D171" s="15"/>
      <c r="E171" s="26"/>
      <c r="F171" s="16"/>
      <c r="G171" s="26"/>
      <c r="H171" s="16"/>
      <c r="I171" s="26"/>
      <c r="J171" s="16"/>
      <c r="K171" s="26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spans="1:31" ht="17.25" customHeight="1" x14ac:dyDescent="0.25">
      <c r="A172" s="15"/>
      <c r="B172" s="15"/>
      <c r="C172" s="16"/>
      <c r="D172" s="15"/>
      <c r="E172" s="26"/>
      <c r="F172" s="16"/>
      <c r="G172" s="26"/>
      <c r="H172" s="16"/>
      <c r="I172" s="26"/>
      <c r="J172" s="16"/>
      <c r="K172" s="26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spans="1:31" ht="17.25" customHeight="1" x14ac:dyDescent="0.25">
      <c r="A173" s="15"/>
      <c r="B173" s="15"/>
      <c r="C173" s="16"/>
      <c r="D173" s="15"/>
      <c r="E173" s="26"/>
      <c r="F173" s="16"/>
      <c r="G173" s="26"/>
      <c r="H173" s="16"/>
      <c r="I173" s="26"/>
      <c r="J173" s="16"/>
      <c r="K173" s="26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spans="1:31" ht="17.25" customHeight="1" x14ac:dyDescent="0.25">
      <c r="A174" s="15"/>
      <c r="B174" s="15"/>
      <c r="C174" s="16"/>
      <c r="D174" s="15"/>
      <c r="E174" s="26"/>
      <c r="F174" s="16"/>
      <c r="G174" s="26"/>
      <c r="H174" s="16"/>
      <c r="I174" s="26"/>
      <c r="J174" s="16"/>
      <c r="K174" s="26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spans="1:31" ht="17.25" customHeight="1" x14ac:dyDescent="0.25">
      <c r="A175" s="15"/>
      <c r="B175" s="15"/>
      <c r="C175" s="16"/>
      <c r="D175" s="15"/>
      <c r="E175" s="26"/>
      <c r="F175" s="16"/>
      <c r="G175" s="26"/>
      <c r="H175" s="16"/>
      <c r="I175" s="26"/>
      <c r="J175" s="16"/>
      <c r="K175" s="2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spans="1:31" ht="17.25" customHeight="1" x14ac:dyDescent="0.25">
      <c r="A176" s="15"/>
      <c r="B176" s="15"/>
      <c r="C176" s="16"/>
      <c r="D176" s="15"/>
      <c r="E176" s="26"/>
      <c r="F176" s="16"/>
      <c r="G176" s="26"/>
      <c r="H176" s="16"/>
      <c r="I176" s="26"/>
      <c r="J176" s="16"/>
      <c r="K176" s="26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spans="1:31" ht="17.25" customHeight="1" x14ac:dyDescent="0.25">
      <c r="A177" s="15"/>
      <c r="B177" s="15"/>
      <c r="C177" s="16"/>
      <c r="D177" s="15"/>
      <c r="E177" s="26"/>
      <c r="F177" s="16"/>
      <c r="G177" s="26"/>
      <c r="H177" s="16"/>
      <c r="I177" s="26"/>
      <c r="J177" s="16"/>
      <c r="K177" s="26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spans="1:31" ht="17.25" customHeight="1" x14ac:dyDescent="0.25">
      <c r="A178" s="15"/>
      <c r="B178" s="15"/>
      <c r="C178" s="16"/>
      <c r="D178" s="15"/>
      <c r="E178" s="26"/>
      <c r="F178" s="16"/>
      <c r="G178" s="26"/>
      <c r="H178" s="16"/>
      <c r="I178" s="26"/>
      <c r="J178" s="16"/>
      <c r="K178" s="26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spans="1:31" ht="17.25" customHeight="1" x14ac:dyDescent="0.25">
      <c r="A179" s="15"/>
      <c r="B179" s="15"/>
      <c r="C179" s="16"/>
      <c r="D179" s="15"/>
      <c r="E179" s="26"/>
      <c r="F179" s="16"/>
      <c r="G179" s="26"/>
      <c r="H179" s="16"/>
      <c r="I179" s="26"/>
      <c r="J179" s="16"/>
      <c r="K179" s="26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spans="1:31" ht="17.25" customHeight="1" x14ac:dyDescent="0.25">
      <c r="A180" s="15"/>
      <c r="B180" s="15"/>
      <c r="C180" s="16"/>
      <c r="D180" s="15"/>
      <c r="E180" s="26"/>
      <c r="F180" s="16"/>
      <c r="G180" s="26"/>
      <c r="H180" s="16"/>
      <c r="I180" s="26"/>
      <c r="J180" s="16"/>
      <c r="K180" s="26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spans="1:31" ht="17.25" customHeight="1" x14ac:dyDescent="0.25">
      <c r="A181" s="15"/>
      <c r="B181" s="15"/>
      <c r="C181" s="16"/>
      <c r="D181" s="15"/>
      <c r="E181" s="26"/>
      <c r="F181" s="16"/>
      <c r="G181" s="26"/>
      <c r="H181" s="16"/>
      <c r="I181" s="26"/>
      <c r="J181" s="16"/>
      <c r="K181" s="26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spans="1:31" ht="17.25" customHeight="1" x14ac:dyDescent="0.25">
      <c r="A182" s="15"/>
      <c r="B182" s="15"/>
      <c r="C182" s="16"/>
      <c r="D182" s="15"/>
      <c r="E182" s="26"/>
      <c r="F182" s="16"/>
      <c r="G182" s="26"/>
      <c r="H182" s="16"/>
      <c r="I182" s="26"/>
      <c r="J182" s="16"/>
      <c r="K182" s="26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spans="1:31" ht="17.25" customHeight="1" x14ac:dyDescent="0.25">
      <c r="A183" s="15"/>
      <c r="B183" s="15"/>
      <c r="C183" s="16"/>
      <c r="D183" s="15"/>
      <c r="E183" s="26"/>
      <c r="F183" s="16"/>
      <c r="G183" s="26"/>
      <c r="H183" s="16"/>
      <c r="I183" s="26"/>
      <c r="J183" s="16"/>
      <c r="K183" s="26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spans="1:31" ht="17.25" customHeight="1" x14ac:dyDescent="0.25">
      <c r="A184" s="15"/>
      <c r="B184" s="15"/>
      <c r="C184" s="16"/>
      <c r="D184" s="15"/>
      <c r="E184" s="26"/>
      <c r="F184" s="16"/>
      <c r="G184" s="26"/>
      <c r="H184" s="16"/>
      <c r="I184" s="26"/>
      <c r="J184" s="16"/>
      <c r="K184" s="26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spans="1:31" ht="17.25" customHeight="1" x14ac:dyDescent="0.25">
      <c r="A185" s="15"/>
      <c r="B185" s="15"/>
      <c r="C185" s="16"/>
      <c r="D185" s="15"/>
      <c r="E185" s="26"/>
      <c r="F185" s="16"/>
      <c r="G185" s="26"/>
      <c r="H185" s="16"/>
      <c r="I185" s="26"/>
      <c r="J185" s="16"/>
      <c r="K185" s="26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spans="1:31" ht="17.25" customHeight="1" x14ac:dyDescent="0.25">
      <c r="A186" s="15"/>
      <c r="B186" s="15"/>
      <c r="C186" s="16"/>
      <c r="D186" s="15"/>
      <c r="E186" s="26"/>
      <c r="F186" s="16"/>
      <c r="G186" s="26"/>
      <c r="H186" s="16"/>
      <c r="I186" s="26"/>
      <c r="J186" s="16"/>
      <c r="K186" s="26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spans="1:31" ht="17.25" customHeight="1" x14ac:dyDescent="0.25">
      <c r="A187" s="15"/>
      <c r="B187" s="15"/>
      <c r="C187" s="16"/>
      <c r="D187" s="15"/>
      <c r="E187" s="26"/>
      <c r="F187" s="16"/>
      <c r="G187" s="26"/>
      <c r="H187" s="16"/>
      <c r="I187" s="26"/>
      <c r="J187" s="16"/>
      <c r="K187" s="26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spans="1:31" ht="17.25" customHeight="1" x14ac:dyDescent="0.25">
      <c r="A188" s="15"/>
      <c r="B188" s="15"/>
      <c r="C188" s="16"/>
      <c r="D188" s="15"/>
      <c r="E188" s="26"/>
      <c r="F188" s="16"/>
      <c r="G188" s="26"/>
      <c r="H188" s="16"/>
      <c r="I188" s="26"/>
      <c r="J188" s="16"/>
      <c r="K188" s="26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spans="1:31" ht="17.25" customHeight="1" x14ac:dyDescent="0.25">
      <c r="A189" s="15"/>
      <c r="B189" s="15"/>
      <c r="C189" s="16"/>
      <c r="D189" s="15"/>
      <c r="E189" s="26"/>
      <c r="F189" s="16"/>
      <c r="G189" s="26"/>
      <c r="H189" s="16"/>
      <c r="I189" s="26"/>
      <c r="J189" s="16"/>
      <c r="K189" s="26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spans="1:31" ht="17.25" customHeight="1" x14ac:dyDescent="0.25">
      <c r="A190" s="15"/>
      <c r="B190" s="15"/>
      <c r="C190" s="16"/>
      <c r="D190" s="15"/>
      <c r="E190" s="26"/>
      <c r="F190" s="16"/>
      <c r="G190" s="26"/>
      <c r="H190" s="16"/>
      <c r="I190" s="26"/>
      <c r="J190" s="16"/>
      <c r="K190" s="26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spans="1:31" ht="17.25" customHeight="1" x14ac:dyDescent="0.25">
      <c r="A191" s="15"/>
      <c r="B191" s="15"/>
      <c r="C191" s="16"/>
      <c r="D191" s="15"/>
      <c r="E191" s="26"/>
      <c r="F191" s="16"/>
      <c r="G191" s="26"/>
      <c r="H191" s="16"/>
      <c r="I191" s="26"/>
      <c r="J191" s="16"/>
      <c r="K191" s="26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spans="1:31" ht="17.25" customHeight="1" x14ac:dyDescent="0.25">
      <c r="A192" s="15"/>
      <c r="B192" s="15"/>
      <c r="C192" s="16"/>
      <c r="D192" s="15"/>
      <c r="E192" s="26"/>
      <c r="F192" s="16"/>
      <c r="G192" s="26"/>
      <c r="H192" s="16"/>
      <c r="I192" s="26"/>
      <c r="J192" s="16"/>
      <c r="K192" s="26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spans="1:31" ht="17.25" customHeight="1" x14ac:dyDescent="0.25">
      <c r="A193" s="15"/>
      <c r="B193" s="15"/>
      <c r="C193" s="16"/>
      <c r="D193" s="15"/>
      <c r="E193" s="26"/>
      <c r="F193" s="16"/>
      <c r="G193" s="26"/>
      <c r="H193" s="16"/>
      <c r="I193" s="26"/>
      <c r="J193" s="16"/>
      <c r="K193" s="26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spans="1:31" ht="17.25" customHeight="1" x14ac:dyDescent="0.25">
      <c r="A194" s="15"/>
      <c r="B194" s="15"/>
      <c r="C194" s="16"/>
      <c r="D194" s="15"/>
      <c r="E194" s="26"/>
      <c r="F194" s="16"/>
      <c r="G194" s="26"/>
      <c r="H194" s="16"/>
      <c r="I194" s="26"/>
      <c r="J194" s="16"/>
      <c r="K194" s="26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spans="1:31" ht="17.25" customHeight="1" x14ac:dyDescent="0.25">
      <c r="A195" s="15"/>
      <c r="B195" s="15"/>
      <c r="C195" s="16"/>
      <c r="D195" s="15"/>
      <c r="E195" s="26"/>
      <c r="F195" s="16"/>
      <c r="G195" s="26"/>
      <c r="H195" s="16"/>
      <c r="I195" s="26"/>
      <c r="J195" s="16"/>
      <c r="K195" s="26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spans="1:31" ht="17.25" customHeight="1" x14ac:dyDescent="0.25">
      <c r="A196" s="15"/>
      <c r="B196" s="15"/>
      <c r="C196" s="16"/>
      <c r="D196" s="15"/>
      <c r="E196" s="26"/>
      <c r="F196" s="16"/>
      <c r="G196" s="26"/>
      <c r="H196" s="16"/>
      <c r="I196" s="26"/>
      <c r="J196" s="16"/>
      <c r="K196" s="26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spans="1:31" ht="17.25" customHeight="1" x14ac:dyDescent="0.25">
      <c r="A197" s="15"/>
      <c r="B197" s="15"/>
      <c r="C197" s="16"/>
      <c r="D197" s="15"/>
      <c r="E197" s="26"/>
      <c r="F197" s="16"/>
      <c r="G197" s="26"/>
      <c r="H197" s="16"/>
      <c r="I197" s="26"/>
      <c r="J197" s="16"/>
      <c r="K197" s="26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spans="1:31" ht="17.25" customHeight="1" x14ac:dyDescent="0.25">
      <c r="A198" s="15"/>
      <c r="B198" s="15"/>
      <c r="C198" s="16"/>
      <c r="D198" s="15"/>
      <c r="E198" s="26"/>
      <c r="F198" s="16"/>
      <c r="G198" s="26"/>
      <c r="H198" s="16"/>
      <c r="I198" s="26"/>
      <c r="J198" s="16"/>
      <c r="K198" s="26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spans="1:31" ht="17.25" customHeight="1" x14ac:dyDescent="0.25">
      <c r="A199" s="15"/>
      <c r="B199" s="15"/>
      <c r="C199" s="16"/>
      <c r="D199" s="15"/>
      <c r="E199" s="26"/>
      <c r="F199" s="16"/>
      <c r="G199" s="26"/>
      <c r="H199" s="16"/>
      <c r="I199" s="26"/>
      <c r="J199" s="16"/>
      <c r="K199" s="26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spans="1:31" ht="17.25" customHeight="1" x14ac:dyDescent="0.25">
      <c r="A200" s="15"/>
      <c r="B200" s="15"/>
      <c r="C200" s="16"/>
      <c r="D200" s="15"/>
      <c r="E200" s="26"/>
      <c r="F200" s="16"/>
      <c r="G200" s="26"/>
      <c r="H200" s="16"/>
      <c r="I200" s="26"/>
      <c r="J200" s="16"/>
      <c r="K200" s="26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spans="1:31" ht="17.25" customHeight="1" x14ac:dyDescent="0.25">
      <c r="A201" s="15"/>
      <c r="B201" s="15"/>
      <c r="C201" s="16"/>
      <c r="D201" s="15"/>
      <c r="E201" s="26"/>
      <c r="F201" s="16"/>
      <c r="G201" s="26"/>
      <c r="H201" s="16"/>
      <c r="I201" s="26"/>
      <c r="J201" s="16"/>
      <c r="K201" s="26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spans="1:31" ht="17.25" customHeight="1" x14ac:dyDescent="0.25">
      <c r="A202" s="15"/>
      <c r="B202" s="15"/>
      <c r="C202" s="16"/>
      <c r="D202" s="15"/>
      <c r="E202" s="26"/>
      <c r="F202" s="16"/>
      <c r="G202" s="26"/>
      <c r="H202" s="16"/>
      <c r="I202" s="26"/>
      <c r="J202" s="16"/>
      <c r="K202" s="26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spans="1:31" ht="17.25" customHeight="1" x14ac:dyDescent="0.25">
      <c r="A203" s="15"/>
      <c r="B203" s="15"/>
      <c r="C203" s="16"/>
      <c r="D203" s="15"/>
      <c r="E203" s="26"/>
      <c r="F203" s="16"/>
      <c r="G203" s="26"/>
      <c r="H203" s="16"/>
      <c r="I203" s="26"/>
      <c r="J203" s="16"/>
      <c r="K203" s="26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spans="1:31" ht="17.25" customHeight="1" x14ac:dyDescent="0.25">
      <c r="A204" s="15"/>
      <c r="B204" s="15"/>
      <c r="C204" s="16"/>
      <c r="D204" s="15"/>
      <c r="E204" s="26"/>
      <c r="F204" s="16"/>
      <c r="G204" s="26"/>
      <c r="H204" s="16"/>
      <c r="I204" s="26"/>
      <c r="J204" s="16"/>
      <c r="K204" s="26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spans="1:31" ht="17.25" customHeight="1" x14ac:dyDescent="0.25">
      <c r="A205" s="15"/>
      <c r="B205" s="15"/>
      <c r="C205" s="16"/>
      <c r="D205" s="15"/>
      <c r="E205" s="26"/>
      <c r="F205" s="16"/>
      <c r="G205" s="26"/>
      <c r="H205" s="16"/>
      <c r="I205" s="26"/>
      <c r="J205" s="16"/>
      <c r="K205" s="26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spans="1:31" ht="17.25" customHeight="1" x14ac:dyDescent="0.25">
      <c r="A206" s="15"/>
      <c r="B206" s="15"/>
      <c r="C206" s="16"/>
      <c r="D206" s="15"/>
      <c r="E206" s="26"/>
      <c r="F206" s="16"/>
      <c r="G206" s="26"/>
      <c r="H206" s="16"/>
      <c r="I206" s="26"/>
      <c r="J206" s="16"/>
      <c r="K206" s="26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spans="1:31" ht="17.25" customHeight="1" x14ac:dyDescent="0.25">
      <c r="A207" s="15"/>
      <c r="B207" s="15"/>
      <c r="C207" s="16"/>
      <c r="D207" s="15"/>
      <c r="E207" s="26"/>
      <c r="F207" s="16"/>
      <c r="G207" s="26"/>
      <c r="H207" s="16"/>
      <c r="I207" s="26"/>
      <c r="J207" s="16"/>
      <c r="K207" s="26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spans="1:31" ht="17.25" customHeight="1" x14ac:dyDescent="0.25">
      <c r="A208" s="15"/>
      <c r="B208" s="15"/>
      <c r="C208" s="16"/>
      <c r="D208" s="15"/>
      <c r="E208" s="26"/>
      <c r="F208" s="16"/>
      <c r="G208" s="26"/>
      <c r="H208" s="16"/>
      <c r="I208" s="26"/>
      <c r="J208" s="16"/>
      <c r="K208" s="26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spans="1:31" ht="17.25" customHeight="1" x14ac:dyDescent="0.25">
      <c r="A209" s="15"/>
      <c r="B209" s="15"/>
      <c r="C209" s="16"/>
      <c r="D209" s="15"/>
      <c r="E209" s="26"/>
      <c r="F209" s="16"/>
      <c r="G209" s="26"/>
      <c r="H209" s="16"/>
      <c r="I209" s="26"/>
      <c r="J209" s="16"/>
      <c r="K209" s="26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spans="1:31" ht="17.25" customHeight="1" x14ac:dyDescent="0.25">
      <c r="A210" s="15"/>
      <c r="B210" s="15"/>
      <c r="C210" s="16"/>
      <c r="D210" s="15"/>
      <c r="E210" s="26"/>
      <c r="F210" s="16"/>
      <c r="G210" s="26"/>
      <c r="H210" s="16"/>
      <c r="I210" s="26"/>
      <c r="J210" s="16"/>
      <c r="K210" s="26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spans="1:31" ht="17.25" customHeight="1" x14ac:dyDescent="0.25">
      <c r="A211" s="15"/>
      <c r="B211" s="15"/>
      <c r="C211" s="16"/>
      <c r="D211" s="15"/>
      <c r="E211" s="26"/>
      <c r="F211" s="16"/>
      <c r="G211" s="26"/>
      <c r="H211" s="16"/>
      <c r="I211" s="26"/>
      <c r="J211" s="16"/>
      <c r="K211" s="26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spans="1:31" ht="17.25" customHeight="1" x14ac:dyDescent="0.25">
      <c r="A212" s="15"/>
      <c r="B212" s="15"/>
      <c r="C212" s="16"/>
      <c r="D212" s="15"/>
      <c r="E212" s="26"/>
      <c r="F212" s="16"/>
      <c r="G212" s="26"/>
      <c r="H212" s="16"/>
      <c r="I212" s="26"/>
      <c r="J212" s="16"/>
      <c r="K212" s="26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spans="1:31" ht="17.25" customHeight="1" x14ac:dyDescent="0.25">
      <c r="A213" s="15"/>
      <c r="B213" s="15"/>
      <c r="C213" s="16"/>
      <c r="D213" s="15"/>
      <c r="E213" s="26"/>
      <c r="F213" s="16"/>
      <c r="G213" s="26"/>
      <c r="H213" s="16"/>
      <c r="I213" s="26"/>
      <c r="J213" s="16"/>
      <c r="K213" s="26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spans="1:31" ht="17.25" customHeight="1" x14ac:dyDescent="0.25">
      <c r="A214" s="15"/>
      <c r="B214" s="15"/>
      <c r="C214" s="16"/>
      <c r="D214" s="15"/>
      <c r="E214" s="26"/>
      <c r="F214" s="16"/>
      <c r="G214" s="26"/>
      <c r="H214" s="16"/>
      <c r="I214" s="26"/>
      <c r="J214" s="16"/>
      <c r="K214" s="26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spans="1:31" ht="17.25" customHeight="1" x14ac:dyDescent="0.25">
      <c r="A215" s="15"/>
      <c r="B215" s="15"/>
      <c r="C215" s="16"/>
      <c r="D215" s="15"/>
      <c r="E215" s="26"/>
      <c r="F215" s="16"/>
      <c r="G215" s="26"/>
      <c r="H215" s="16"/>
      <c r="I215" s="26"/>
      <c r="J215" s="16"/>
      <c r="K215" s="26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spans="1:31" ht="17.25" customHeight="1" x14ac:dyDescent="0.25">
      <c r="A216" s="15"/>
      <c r="B216" s="15"/>
      <c r="C216" s="16"/>
      <c r="D216" s="15"/>
      <c r="E216" s="26"/>
      <c r="F216" s="16"/>
      <c r="G216" s="26"/>
      <c r="H216" s="16"/>
      <c r="I216" s="26"/>
      <c r="J216" s="16"/>
      <c r="K216" s="26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spans="1:31" ht="17.25" customHeight="1" x14ac:dyDescent="0.25">
      <c r="A217" s="15"/>
      <c r="B217" s="15"/>
      <c r="C217" s="16"/>
      <c r="D217" s="15"/>
      <c r="E217" s="26"/>
      <c r="F217" s="16"/>
      <c r="G217" s="26"/>
      <c r="H217" s="16"/>
      <c r="I217" s="26"/>
      <c r="J217" s="16"/>
      <c r="K217" s="26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spans="1:31" ht="17.25" customHeight="1" x14ac:dyDescent="0.25">
      <c r="A218" s="15"/>
      <c r="B218" s="15"/>
      <c r="C218" s="16"/>
      <c r="D218" s="15"/>
      <c r="E218" s="26"/>
      <c r="F218" s="16"/>
      <c r="G218" s="26"/>
      <c r="H218" s="16"/>
      <c r="I218" s="26"/>
      <c r="J218" s="16"/>
      <c r="K218" s="26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spans="1:31" ht="17.25" customHeight="1" x14ac:dyDescent="0.25">
      <c r="A219" s="15"/>
      <c r="B219" s="15"/>
      <c r="C219" s="16"/>
      <c r="D219" s="15"/>
      <c r="E219" s="26"/>
      <c r="F219" s="16"/>
      <c r="G219" s="26"/>
      <c r="H219" s="16"/>
      <c r="I219" s="26"/>
      <c r="J219" s="16"/>
      <c r="K219" s="26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spans="1:31" ht="17.25" customHeight="1" x14ac:dyDescent="0.25">
      <c r="A220" s="15"/>
      <c r="B220" s="15"/>
      <c r="C220" s="16"/>
      <c r="D220" s="15"/>
      <c r="E220" s="26"/>
      <c r="F220" s="16"/>
      <c r="G220" s="26"/>
      <c r="H220" s="16"/>
      <c r="I220" s="26"/>
      <c r="J220" s="16"/>
      <c r="K220" s="26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spans="1:31" ht="17.25" customHeight="1" x14ac:dyDescent="0.25">
      <c r="A221" s="15"/>
      <c r="B221" s="15"/>
      <c r="C221" s="16"/>
      <c r="D221" s="15"/>
      <c r="E221" s="26"/>
      <c r="F221" s="16"/>
      <c r="G221" s="26"/>
      <c r="H221" s="16"/>
      <c r="I221" s="26"/>
      <c r="J221" s="16"/>
      <c r="K221" s="26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spans="1:31" ht="17.25" customHeight="1" x14ac:dyDescent="0.25">
      <c r="A222" s="15"/>
      <c r="B222" s="15"/>
      <c r="C222" s="16"/>
      <c r="D222" s="15"/>
      <c r="E222" s="26"/>
      <c r="F222" s="16"/>
      <c r="G222" s="26"/>
      <c r="H222" s="16"/>
      <c r="I222" s="26"/>
      <c r="J222" s="16"/>
      <c r="K222" s="26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spans="1:31" ht="17.25" customHeight="1" x14ac:dyDescent="0.25">
      <c r="A223" s="15"/>
      <c r="B223" s="15"/>
      <c r="C223" s="16"/>
      <c r="D223" s="15"/>
      <c r="E223" s="26"/>
      <c r="F223" s="16"/>
      <c r="G223" s="26"/>
      <c r="H223" s="16"/>
      <c r="I223" s="26"/>
      <c r="J223" s="16"/>
      <c r="K223" s="26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spans="1:31" ht="17.25" customHeight="1" x14ac:dyDescent="0.25">
      <c r="A224" s="15"/>
      <c r="B224" s="15"/>
      <c r="C224" s="16"/>
      <c r="D224" s="15"/>
      <c r="E224" s="26"/>
      <c r="F224" s="16"/>
      <c r="G224" s="26"/>
      <c r="H224" s="16"/>
      <c r="I224" s="26"/>
      <c r="J224" s="16"/>
      <c r="K224" s="26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spans="1:31" ht="17.25" customHeight="1" x14ac:dyDescent="0.25">
      <c r="A225" s="15"/>
      <c r="B225" s="15"/>
      <c r="C225" s="16"/>
      <c r="D225" s="15"/>
      <c r="E225" s="26"/>
      <c r="F225" s="16"/>
      <c r="G225" s="26"/>
      <c r="H225" s="16"/>
      <c r="I225" s="26"/>
      <c r="J225" s="16"/>
      <c r="K225" s="26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spans="1:31" ht="17.25" customHeight="1" x14ac:dyDescent="0.25">
      <c r="A226" s="15"/>
      <c r="B226" s="15"/>
      <c r="C226" s="16"/>
      <c r="D226" s="15"/>
      <c r="E226" s="26"/>
      <c r="F226" s="16"/>
      <c r="G226" s="26"/>
      <c r="H226" s="16"/>
      <c r="I226" s="26"/>
      <c r="J226" s="16"/>
      <c r="K226" s="26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spans="1:31" ht="17.25" customHeight="1" x14ac:dyDescent="0.25">
      <c r="A227" s="15"/>
      <c r="B227" s="15"/>
      <c r="C227" s="16"/>
      <c r="D227" s="15"/>
      <c r="E227" s="26"/>
      <c r="F227" s="16"/>
      <c r="G227" s="26"/>
      <c r="H227" s="16"/>
      <c r="I227" s="26"/>
      <c r="J227" s="16"/>
      <c r="K227" s="26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spans="1:31" ht="17.25" customHeight="1" x14ac:dyDescent="0.25">
      <c r="A228" s="15"/>
      <c r="B228" s="15"/>
      <c r="C228" s="16"/>
      <c r="D228" s="15"/>
      <c r="E228" s="26"/>
      <c r="F228" s="16"/>
      <c r="G228" s="26"/>
      <c r="H228" s="16"/>
      <c r="I228" s="26"/>
      <c r="J228" s="16"/>
      <c r="K228" s="26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spans="1:31" ht="17.25" customHeight="1" x14ac:dyDescent="0.25">
      <c r="A229" s="15"/>
      <c r="B229" s="15"/>
      <c r="C229" s="16"/>
      <c r="D229" s="15"/>
      <c r="E229" s="26"/>
      <c r="F229" s="16"/>
      <c r="G229" s="26"/>
      <c r="H229" s="16"/>
      <c r="I229" s="26"/>
      <c r="J229" s="16"/>
      <c r="K229" s="26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spans="1:31" ht="17.25" customHeight="1" x14ac:dyDescent="0.25">
      <c r="A230" s="15"/>
      <c r="B230" s="15"/>
      <c r="C230" s="16"/>
      <c r="D230" s="15"/>
      <c r="E230" s="26"/>
      <c r="F230" s="16"/>
      <c r="G230" s="26"/>
      <c r="H230" s="16"/>
      <c r="I230" s="26"/>
      <c r="J230" s="16"/>
      <c r="K230" s="26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spans="1:31" ht="17.25" customHeight="1" x14ac:dyDescent="0.25">
      <c r="A231" s="15"/>
      <c r="B231" s="15"/>
      <c r="C231" s="16"/>
      <c r="D231" s="15"/>
      <c r="E231" s="26"/>
      <c r="F231" s="16"/>
      <c r="G231" s="26"/>
      <c r="H231" s="16"/>
      <c r="I231" s="26"/>
      <c r="J231" s="16"/>
      <c r="K231" s="26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spans="1:31" ht="17.25" customHeight="1" x14ac:dyDescent="0.25">
      <c r="A232" s="15"/>
      <c r="B232" s="15"/>
      <c r="C232" s="16"/>
      <c r="D232" s="15"/>
      <c r="E232" s="26"/>
      <c r="F232" s="16"/>
      <c r="G232" s="26"/>
      <c r="H232" s="16"/>
      <c r="I232" s="26"/>
      <c r="J232" s="16"/>
      <c r="K232" s="26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spans="1:31" ht="17.25" customHeight="1" x14ac:dyDescent="0.25">
      <c r="A233" s="15"/>
      <c r="B233" s="15"/>
      <c r="C233" s="16"/>
      <c r="D233" s="15"/>
      <c r="E233" s="26"/>
      <c r="F233" s="16"/>
      <c r="G233" s="26"/>
      <c r="H233" s="16"/>
      <c r="I233" s="26"/>
      <c r="J233" s="16"/>
      <c r="K233" s="26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spans="1:31" ht="17.25" customHeight="1" x14ac:dyDescent="0.25">
      <c r="A234" s="15"/>
      <c r="B234" s="15"/>
      <c r="C234" s="16"/>
      <c r="D234" s="15"/>
      <c r="E234" s="26"/>
      <c r="F234" s="16"/>
      <c r="G234" s="26"/>
      <c r="H234" s="16"/>
      <c r="I234" s="26"/>
      <c r="J234" s="16"/>
      <c r="K234" s="26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spans="1:31" ht="17.25" customHeight="1" x14ac:dyDescent="0.25">
      <c r="A235" s="15"/>
      <c r="B235" s="15"/>
      <c r="C235" s="16"/>
      <c r="D235" s="15"/>
      <c r="E235" s="26"/>
      <c r="F235" s="16"/>
      <c r="G235" s="26"/>
      <c r="H235" s="16"/>
      <c r="I235" s="26"/>
      <c r="J235" s="16"/>
      <c r="K235" s="26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spans="1:31" ht="17.25" customHeight="1" x14ac:dyDescent="0.25">
      <c r="A236" s="15"/>
      <c r="B236" s="15"/>
      <c r="C236" s="16"/>
      <c r="D236" s="15"/>
      <c r="E236" s="26"/>
      <c r="F236" s="16"/>
      <c r="G236" s="26"/>
      <c r="H236" s="16"/>
      <c r="I236" s="26"/>
      <c r="J236" s="16"/>
      <c r="K236" s="26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spans="1:31" ht="17.25" customHeight="1" x14ac:dyDescent="0.25">
      <c r="A237" s="15"/>
      <c r="B237" s="15"/>
      <c r="C237" s="16"/>
      <c r="D237" s="15"/>
      <c r="E237" s="26"/>
      <c r="F237" s="16"/>
      <c r="G237" s="26"/>
      <c r="H237" s="16"/>
      <c r="I237" s="26"/>
      <c r="J237" s="16"/>
      <c r="K237" s="26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spans="1:31" ht="17.25" customHeight="1" x14ac:dyDescent="0.25">
      <c r="A238" s="15"/>
      <c r="B238" s="15"/>
      <c r="C238" s="16"/>
      <c r="D238" s="15"/>
      <c r="E238" s="26"/>
      <c r="F238" s="16"/>
      <c r="G238" s="26"/>
      <c r="H238" s="16"/>
      <c r="I238" s="26"/>
      <c r="J238" s="16"/>
      <c r="K238" s="26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spans="1:31" ht="17.25" customHeight="1" x14ac:dyDescent="0.25">
      <c r="A239" s="15"/>
      <c r="B239" s="15"/>
      <c r="C239" s="16"/>
      <c r="D239" s="15"/>
      <c r="E239" s="26"/>
      <c r="F239" s="16"/>
      <c r="G239" s="26"/>
      <c r="H239" s="16"/>
      <c r="I239" s="26"/>
      <c r="J239" s="16"/>
      <c r="K239" s="26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spans="1:31" ht="17.25" customHeight="1" x14ac:dyDescent="0.25">
      <c r="A240" s="15"/>
      <c r="B240" s="15"/>
      <c r="C240" s="16"/>
      <c r="D240" s="15"/>
      <c r="E240" s="26"/>
      <c r="F240" s="16"/>
      <c r="G240" s="26"/>
      <c r="H240" s="16"/>
      <c r="I240" s="26"/>
      <c r="J240" s="16"/>
      <c r="K240" s="26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spans="1:31" ht="17.25" customHeight="1" x14ac:dyDescent="0.25">
      <c r="A241" s="15"/>
      <c r="B241" s="15"/>
      <c r="C241" s="16"/>
      <c r="D241" s="15"/>
      <c r="E241" s="26"/>
      <c r="F241" s="16"/>
      <c r="G241" s="26"/>
      <c r="H241" s="16"/>
      <c r="I241" s="26"/>
      <c r="J241" s="16"/>
      <c r="K241" s="26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spans="1:31" ht="17.25" customHeight="1" x14ac:dyDescent="0.25">
      <c r="A242" s="15"/>
      <c r="B242" s="15"/>
      <c r="C242" s="16"/>
      <c r="D242" s="15"/>
      <c r="E242" s="26"/>
      <c r="F242" s="16"/>
      <c r="G242" s="26"/>
      <c r="H242" s="16"/>
      <c r="I242" s="26"/>
      <c r="J242" s="16"/>
      <c r="K242" s="26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spans="1:31" ht="17.25" customHeight="1" x14ac:dyDescent="0.25">
      <c r="A243" s="15"/>
      <c r="B243" s="15"/>
      <c r="C243" s="16"/>
      <c r="D243" s="15"/>
      <c r="E243" s="26"/>
      <c r="F243" s="16"/>
      <c r="G243" s="26"/>
      <c r="H243" s="16"/>
      <c r="I243" s="26"/>
      <c r="J243" s="16"/>
      <c r="K243" s="26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spans="1:31" ht="17.25" customHeight="1" x14ac:dyDescent="0.25">
      <c r="A244" s="15"/>
      <c r="B244" s="15"/>
      <c r="C244" s="16"/>
      <c r="D244" s="15"/>
      <c r="E244" s="26"/>
      <c r="F244" s="16"/>
      <c r="G244" s="26"/>
      <c r="H244" s="16"/>
      <c r="I244" s="26"/>
      <c r="J244" s="16"/>
      <c r="K244" s="26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spans="1:31" ht="17.25" customHeight="1" x14ac:dyDescent="0.25">
      <c r="A245" s="15"/>
      <c r="B245" s="15"/>
      <c r="C245" s="16"/>
      <c r="D245" s="15"/>
      <c r="E245" s="26"/>
      <c r="F245" s="16"/>
      <c r="G245" s="26"/>
      <c r="H245" s="16"/>
      <c r="I245" s="26"/>
      <c r="J245" s="16"/>
      <c r="K245" s="26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spans="1:31" ht="17.25" customHeight="1" x14ac:dyDescent="0.25">
      <c r="A246" s="15"/>
      <c r="B246" s="15"/>
      <c r="C246" s="16"/>
      <c r="D246" s="15"/>
      <c r="E246" s="26"/>
      <c r="F246" s="16"/>
      <c r="G246" s="26"/>
      <c r="H246" s="16"/>
      <c r="I246" s="26"/>
      <c r="J246" s="16"/>
      <c r="K246" s="26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spans="1:31" ht="17.25" customHeight="1" x14ac:dyDescent="0.25">
      <c r="A247" s="15"/>
      <c r="B247" s="15"/>
      <c r="C247" s="16"/>
      <c r="D247" s="15"/>
      <c r="E247" s="26"/>
      <c r="F247" s="16"/>
      <c r="G247" s="26"/>
      <c r="H247" s="16"/>
      <c r="I247" s="26"/>
      <c r="J247" s="16"/>
      <c r="K247" s="26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spans="1:31" ht="17.25" customHeight="1" x14ac:dyDescent="0.25">
      <c r="A248" s="15"/>
      <c r="B248" s="15"/>
      <c r="C248" s="16"/>
      <c r="D248" s="15"/>
      <c r="E248" s="26"/>
      <c r="F248" s="16"/>
      <c r="G248" s="26"/>
      <c r="H248" s="16"/>
      <c r="I248" s="26"/>
      <c r="J248" s="16"/>
      <c r="K248" s="26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spans="1:31" ht="17.25" customHeight="1" x14ac:dyDescent="0.25">
      <c r="A249" s="15"/>
      <c r="B249" s="15"/>
      <c r="C249" s="16"/>
      <c r="D249" s="15"/>
      <c r="E249" s="26"/>
      <c r="F249" s="16"/>
      <c r="G249" s="26"/>
      <c r="H249" s="16"/>
      <c r="I249" s="26"/>
      <c r="J249" s="16"/>
      <c r="K249" s="26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spans="1:31" ht="17.25" customHeight="1" x14ac:dyDescent="0.25">
      <c r="A250" s="15"/>
      <c r="B250" s="15"/>
      <c r="C250" s="16"/>
      <c r="D250" s="15"/>
      <c r="E250" s="26"/>
      <c r="F250" s="16"/>
      <c r="G250" s="26"/>
      <c r="H250" s="16"/>
      <c r="I250" s="26"/>
      <c r="J250" s="16"/>
      <c r="K250" s="26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spans="1:31" ht="17.25" customHeight="1" x14ac:dyDescent="0.25">
      <c r="A251" s="15"/>
      <c r="B251" s="15"/>
      <c r="C251" s="16"/>
      <c r="D251" s="15"/>
      <c r="E251" s="26"/>
      <c r="F251" s="16"/>
      <c r="G251" s="26"/>
      <c r="H251" s="16"/>
      <c r="I251" s="26"/>
      <c r="J251" s="16"/>
      <c r="K251" s="26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spans="1:31" ht="17.25" customHeight="1" x14ac:dyDescent="0.25">
      <c r="A252" s="15"/>
      <c r="B252" s="15"/>
      <c r="C252" s="16"/>
      <c r="D252" s="15"/>
      <c r="E252" s="26"/>
      <c r="F252" s="16"/>
      <c r="G252" s="26"/>
      <c r="H252" s="16"/>
      <c r="I252" s="26"/>
      <c r="J252" s="16"/>
      <c r="K252" s="26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spans="1:31" ht="17.25" customHeight="1" x14ac:dyDescent="0.25">
      <c r="A253" s="15"/>
      <c r="B253" s="15"/>
      <c r="C253" s="16"/>
      <c r="D253" s="15"/>
      <c r="E253" s="26"/>
      <c r="F253" s="16"/>
      <c r="G253" s="26"/>
      <c r="H253" s="16"/>
      <c r="I253" s="26"/>
      <c r="J253" s="16"/>
      <c r="K253" s="26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spans="1:31" ht="17.25" customHeight="1" x14ac:dyDescent="0.25">
      <c r="A254" s="15"/>
      <c r="B254" s="15"/>
      <c r="C254" s="16"/>
      <c r="D254" s="15"/>
      <c r="E254" s="26"/>
      <c r="F254" s="16"/>
      <c r="G254" s="26"/>
      <c r="H254" s="16"/>
      <c r="I254" s="26"/>
      <c r="J254" s="16"/>
      <c r="K254" s="26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spans="1:31" ht="17.25" customHeight="1" x14ac:dyDescent="0.25">
      <c r="A255" s="15"/>
      <c r="B255" s="15"/>
      <c r="C255" s="16"/>
      <c r="D255" s="15"/>
      <c r="E255" s="26"/>
      <c r="F255" s="16"/>
      <c r="G255" s="26"/>
      <c r="H255" s="16"/>
      <c r="I255" s="26"/>
      <c r="J255" s="16"/>
      <c r="K255" s="26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spans="1:31" ht="17.25" customHeight="1" x14ac:dyDescent="0.25">
      <c r="A256" s="15"/>
      <c r="B256" s="15"/>
      <c r="C256" s="16"/>
      <c r="D256" s="15"/>
      <c r="E256" s="26"/>
      <c r="F256" s="16"/>
      <c r="G256" s="26"/>
      <c r="H256" s="16"/>
      <c r="I256" s="26"/>
      <c r="J256" s="16"/>
      <c r="K256" s="26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spans="1:31" ht="17.25" customHeight="1" x14ac:dyDescent="0.25">
      <c r="A257" s="15"/>
      <c r="B257" s="15"/>
      <c r="C257" s="16"/>
      <c r="D257" s="15"/>
      <c r="E257" s="26"/>
      <c r="F257" s="16"/>
      <c r="G257" s="26"/>
      <c r="H257" s="16"/>
      <c r="I257" s="26"/>
      <c r="J257" s="16"/>
      <c r="K257" s="26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spans="1:31" ht="17.25" customHeight="1" x14ac:dyDescent="0.25">
      <c r="A258" s="15"/>
      <c r="B258" s="15"/>
      <c r="C258" s="16"/>
      <c r="D258" s="15"/>
      <c r="E258" s="26"/>
      <c r="F258" s="16"/>
      <c r="G258" s="26"/>
      <c r="H258" s="16"/>
      <c r="I258" s="26"/>
      <c r="J258" s="16"/>
      <c r="K258" s="26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spans="1:31" ht="17.25" customHeight="1" x14ac:dyDescent="0.25">
      <c r="A259" s="15"/>
      <c r="B259" s="15"/>
      <c r="C259" s="16"/>
      <c r="D259" s="15"/>
      <c r="E259" s="26"/>
      <c r="F259" s="16"/>
      <c r="G259" s="26"/>
      <c r="H259" s="16"/>
      <c r="I259" s="26"/>
      <c r="J259" s="16"/>
      <c r="K259" s="26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spans="1:31" ht="17.25" customHeight="1" x14ac:dyDescent="0.25">
      <c r="A260" s="15"/>
      <c r="B260" s="15"/>
      <c r="C260" s="16"/>
      <c r="D260" s="15"/>
      <c r="E260" s="26"/>
      <c r="F260" s="16"/>
      <c r="G260" s="26"/>
      <c r="H260" s="16"/>
      <c r="I260" s="26"/>
      <c r="J260" s="16"/>
      <c r="K260" s="26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spans="1:31" ht="17.25" customHeight="1" x14ac:dyDescent="0.25">
      <c r="A261" s="15"/>
      <c r="B261" s="15"/>
      <c r="C261" s="16"/>
      <c r="D261" s="15"/>
      <c r="E261" s="26"/>
      <c r="F261" s="16"/>
      <c r="G261" s="26"/>
      <c r="H261" s="16"/>
      <c r="I261" s="26"/>
      <c r="J261" s="16"/>
      <c r="K261" s="26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spans="1:31" ht="17.25" customHeight="1" x14ac:dyDescent="0.25">
      <c r="A262" s="15"/>
      <c r="B262" s="15"/>
      <c r="C262" s="16"/>
      <c r="D262" s="15"/>
      <c r="E262" s="26"/>
      <c r="F262" s="16"/>
      <c r="G262" s="26"/>
      <c r="H262" s="16"/>
      <c r="I262" s="26"/>
      <c r="J262" s="16"/>
      <c r="K262" s="26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spans="1:31" ht="17.25" customHeight="1" x14ac:dyDescent="0.25">
      <c r="A263" s="15"/>
      <c r="B263" s="15"/>
      <c r="C263" s="16"/>
      <c r="D263" s="15"/>
      <c r="E263" s="26"/>
      <c r="F263" s="16"/>
      <c r="G263" s="26"/>
      <c r="H263" s="16"/>
      <c r="I263" s="26"/>
      <c r="J263" s="16"/>
      <c r="K263" s="26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spans="1:31" ht="17.25" customHeight="1" x14ac:dyDescent="0.25">
      <c r="A264" s="15"/>
      <c r="B264" s="15"/>
      <c r="C264" s="16"/>
      <c r="D264" s="15"/>
      <c r="E264" s="26"/>
      <c r="F264" s="16"/>
      <c r="G264" s="26"/>
      <c r="H264" s="16"/>
      <c r="I264" s="26"/>
      <c r="J264" s="16"/>
      <c r="K264" s="26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spans="1:31" ht="17.25" customHeight="1" x14ac:dyDescent="0.25">
      <c r="A265" s="15"/>
      <c r="B265" s="15"/>
      <c r="C265" s="16"/>
      <c r="D265" s="15"/>
      <c r="E265" s="26"/>
      <c r="F265" s="16"/>
      <c r="G265" s="26"/>
      <c r="H265" s="16"/>
      <c r="I265" s="26"/>
      <c r="J265" s="16"/>
      <c r="K265" s="26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spans="1:31" ht="17.25" customHeight="1" x14ac:dyDescent="0.25">
      <c r="A266" s="15"/>
      <c r="B266" s="15"/>
      <c r="C266" s="16"/>
      <c r="D266" s="15"/>
      <c r="E266" s="26"/>
      <c r="F266" s="16"/>
      <c r="G266" s="26"/>
      <c r="H266" s="16"/>
      <c r="I266" s="26"/>
      <c r="J266" s="16"/>
      <c r="K266" s="26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spans="1:31" ht="17.25" customHeight="1" x14ac:dyDescent="0.25">
      <c r="A267" s="15"/>
      <c r="B267" s="15"/>
      <c r="C267" s="16"/>
      <c r="D267" s="15"/>
      <c r="E267" s="26"/>
      <c r="F267" s="16"/>
      <c r="G267" s="26"/>
      <c r="H267" s="16"/>
      <c r="I267" s="26"/>
      <c r="J267" s="16"/>
      <c r="K267" s="26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spans="1:31" ht="17.25" customHeight="1" x14ac:dyDescent="0.25">
      <c r="A268" s="15"/>
      <c r="B268" s="15"/>
      <c r="C268" s="16"/>
      <c r="D268" s="15"/>
      <c r="E268" s="26"/>
      <c r="F268" s="16"/>
      <c r="G268" s="26"/>
      <c r="H268" s="16"/>
      <c r="I268" s="26"/>
      <c r="J268" s="16"/>
      <c r="K268" s="26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spans="1:31" ht="17.25" customHeight="1" x14ac:dyDescent="0.25">
      <c r="A269" s="15"/>
      <c r="B269" s="15"/>
      <c r="C269" s="16"/>
      <c r="D269" s="15"/>
      <c r="E269" s="26"/>
      <c r="F269" s="16"/>
      <c r="G269" s="26"/>
      <c r="H269" s="16"/>
      <c r="I269" s="26"/>
      <c r="J269" s="16"/>
      <c r="K269" s="26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spans="1:31" ht="17.25" customHeight="1" x14ac:dyDescent="0.25">
      <c r="A270" s="15"/>
      <c r="B270" s="15"/>
      <c r="C270" s="16"/>
      <c r="D270" s="15"/>
      <c r="E270" s="26"/>
      <c r="F270" s="16"/>
      <c r="G270" s="26"/>
      <c r="H270" s="16"/>
      <c r="I270" s="26"/>
      <c r="J270" s="16"/>
      <c r="K270" s="26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spans="1:31" ht="17.25" customHeight="1" x14ac:dyDescent="0.25">
      <c r="A271" s="15"/>
      <c r="B271" s="15"/>
      <c r="C271" s="16"/>
      <c r="D271" s="15"/>
      <c r="E271" s="26"/>
      <c r="F271" s="16"/>
      <c r="G271" s="26"/>
      <c r="H271" s="16"/>
      <c r="I271" s="26"/>
      <c r="J271" s="16"/>
      <c r="K271" s="26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spans="1:31" ht="17.25" customHeight="1" x14ac:dyDescent="0.25">
      <c r="A272" s="15"/>
      <c r="B272" s="15"/>
      <c r="C272" s="16"/>
      <c r="D272" s="15"/>
      <c r="E272" s="26"/>
      <c r="F272" s="16"/>
      <c r="G272" s="26"/>
      <c r="H272" s="16"/>
      <c r="I272" s="26"/>
      <c r="J272" s="16"/>
      <c r="K272" s="26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spans="1:31" ht="17.25" customHeight="1" x14ac:dyDescent="0.25">
      <c r="A273" s="15"/>
      <c r="B273" s="15"/>
      <c r="C273" s="16"/>
      <c r="D273" s="15"/>
      <c r="E273" s="26"/>
      <c r="F273" s="16"/>
      <c r="G273" s="26"/>
      <c r="H273" s="16"/>
      <c r="I273" s="26"/>
      <c r="J273" s="16"/>
      <c r="K273" s="26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spans="1:31" ht="17.25" customHeight="1" x14ac:dyDescent="0.25">
      <c r="A274" s="15"/>
      <c r="B274" s="15"/>
      <c r="C274" s="16"/>
      <c r="D274" s="15"/>
      <c r="E274" s="26"/>
      <c r="F274" s="16"/>
      <c r="G274" s="26"/>
      <c r="H274" s="16"/>
      <c r="I274" s="26"/>
      <c r="J274" s="16"/>
      <c r="K274" s="26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spans="1:31" ht="17.25" customHeight="1" x14ac:dyDescent="0.25">
      <c r="A275" s="15"/>
      <c r="B275" s="15"/>
      <c r="C275" s="16"/>
      <c r="D275" s="15"/>
      <c r="E275" s="26"/>
      <c r="F275" s="16"/>
      <c r="G275" s="26"/>
      <c r="H275" s="16"/>
      <c r="I275" s="26"/>
      <c r="J275" s="16"/>
      <c r="K275" s="26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spans="1:31" ht="17.25" customHeight="1" x14ac:dyDescent="0.25">
      <c r="A276" s="15"/>
      <c r="B276" s="15"/>
      <c r="C276" s="16"/>
      <c r="D276" s="15"/>
      <c r="E276" s="26"/>
      <c r="F276" s="16"/>
      <c r="G276" s="26"/>
      <c r="H276" s="16"/>
      <c r="I276" s="26"/>
      <c r="J276" s="16"/>
      <c r="K276" s="26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spans="1:31" ht="17.25" customHeight="1" x14ac:dyDescent="0.25">
      <c r="A277" s="15"/>
      <c r="B277" s="15"/>
      <c r="C277" s="16"/>
      <c r="D277" s="15"/>
      <c r="E277" s="26"/>
      <c r="F277" s="16"/>
      <c r="G277" s="26"/>
      <c r="H277" s="16"/>
      <c r="I277" s="26"/>
      <c r="J277" s="16"/>
      <c r="K277" s="26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spans="1:31" ht="17.25" customHeight="1" x14ac:dyDescent="0.25">
      <c r="A278" s="15"/>
      <c r="B278" s="15"/>
      <c r="C278" s="16"/>
      <c r="D278" s="15"/>
      <c r="E278" s="26"/>
      <c r="F278" s="16"/>
      <c r="G278" s="26"/>
      <c r="H278" s="16"/>
      <c r="I278" s="26"/>
      <c r="J278" s="16"/>
      <c r="K278" s="26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spans="1:31" ht="17.25" customHeight="1" x14ac:dyDescent="0.25">
      <c r="A279" s="15"/>
      <c r="B279" s="15"/>
      <c r="C279" s="16"/>
      <c r="D279" s="15"/>
      <c r="E279" s="26"/>
      <c r="F279" s="16"/>
      <c r="G279" s="26"/>
      <c r="H279" s="16"/>
      <c r="I279" s="26"/>
      <c r="J279" s="16"/>
      <c r="K279" s="26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spans="1:31" ht="17.25" customHeight="1" x14ac:dyDescent="0.25">
      <c r="A280" s="15"/>
      <c r="B280" s="15"/>
      <c r="C280" s="16"/>
      <c r="D280" s="15"/>
      <c r="E280" s="26"/>
      <c r="F280" s="16"/>
      <c r="G280" s="26"/>
      <c r="H280" s="16"/>
      <c r="I280" s="26"/>
      <c r="J280" s="16"/>
      <c r="K280" s="26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spans="1:31" ht="17.25" customHeight="1" x14ac:dyDescent="0.25">
      <c r="A281" s="15"/>
      <c r="B281" s="15"/>
      <c r="C281" s="16"/>
      <c r="D281" s="15"/>
      <c r="E281" s="26"/>
      <c r="F281" s="16"/>
      <c r="G281" s="26"/>
      <c r="H281" s="16"/>
      <c r="I281" s="26"/>
      <c r="J281" s="16"/>
      <c r="K281" s="26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spans="1:31" ht="17.25" customHeight="1" x14ac:dyDescent="0.25">
      <c r="A282" s="15"/>
      <c r="B282" s="15"/>
      <c r="C282" s="16"/>
      <c r="D282" s="15"/>
      <c r="E282" s="26"/>
      <c r="F282" s="16"/>
      <c r="G282" s="26"/>
      <c r="H282" s="16"/>
      <c r="I282" s="26"/>
      <c r="J282" s="16"/>
      <c r="K282" s="26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spans="1:31" ht="17.25" customHeight="1" x14ac:dyDescent="0.25">
      <c r="A283" s="15"/>
      <c r="B283" s="15"/>
      <c r="C283" s="16"/>
      <c r="D283" s="15"/>
      <c r="E283" s="26"/>
      <c r="F283" s="16"/>
      <c r="G283" s="26"/>
      <c r="H283" s="16"/>
      <c r="I283" s="26"/>
      <c r="J283" s="16"/>
      <c r="K283" s="26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spans="1:31" ht="17.25" customHeight="1" x14ac:dyDescent="0.25">
      <c r="A284" s="15"/>
      <c r="B284" s="15"/>
      <c r="C284" s="16"/>
      <c r="D284" s="15"/>
      <c r="E284" s="26"/>
      <c r="F284" s="16"/>
      <c r="G284" s="26"/>
      <c r="H284" s="16"/>
      <c r="I284" s="26"/>
      <c r="J284" s="16"/>
      <c r="K284" s="26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spans="1:31" ht="17.25" customHeight="1" x14ac:dyDescent="0.25">
      <c r="A285" s="15"/>
      <c r="B285" s="15"/>
      <c r="C285" s="16"/>
      <c r="D285" s="15"/>
      <c r="E285" s="26"/>
      <c r="F285" s="16"/>
      <c r="G285" s="26"/>
      <c r="H285" s="16"/>
      <c r="I285" s="26"/>
      <c r="J285" s="16"/>
      <c r="K285" s="26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spans="1:31" ht="17.25" customHeight="1" x14ac:dyDescent="0.25">
      <c r="A286" s="15"/>
      <c r="B286" s="15"/>
      <c r="C286" s="16"/>
      <c r="D286" s="15"/>
      <c r="E286" s="26"/>
      <c r="F286" s="16"/>
      <c r="G286" s="26"/>
      <c r="H286" s="16"/>
      <c r="I286" s="26"/>
      <c r="J286" s="16"/>
      <c r="K286" s="26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spans="1:31" ht="17.25" customHeight="1" x14ac:dyDescent="0.25">
      <c r="A287" s="15"/>
      <c r="B287" s="15"/>
      <c r="C287" s="16"/>
      <c r="D287" s="15"/>
      <c r="E287" s="26"/>
      <c r="F287" s="16"/>
      <c r="G287" s="26"/>
      <c r="H287" s="16"/>
      <c r="I287" s="26"/>
      <c r="J287" s="16"/>
      <c r="K287" s="26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spans="1:31" ht="17.25" customHeight="1" x14ac:dyDescent="0.25">
      <c r="A288" s="15"/>
      <c r="B288" s="15"/>
      <c r="C288" s="16"/>
      <c r="D288" s="15"/>
      <c r="E288" s="26"/>
      <c r="F288" s="16"/>
      <c r="G288" s="26"/>
      <c r="H288" s="16"/>
      <c r="I288" s="26"/>
      <c r="J288" s="16"/>
      <c r="K288" s="26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spans="1:31" ht="17.25" customHeight="1" x14ac:dyDescent="0.25">
      <c r="A289" s="15"/>
      <c r="B289" s="15"/>
      <c r="C289" s="16"/>
      <c r="D289" s="15"/>
      <c r="E289" s="26"/>
      <c r="F289" s="16"/>
      <c r="G289" s="26"/>
      <c r="H289" s="16"/>
      <c r="I289" s="26"/>
      <c r="J289" s="16"/>
      <c r="K289" s="26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spans="1:31" ht="17.25" customHeight="1" x14ac:dyDescent="0.25">
      <c r="A290" s="15"/>
      <c r="B290" s="15"/>
      <c r="C290" s="16"/>
      <c r="D290" s="15"/>
      <c r="E290" s="26"/>
      <c r="F290" s="16"/>
      <c r="G290" s="26"/>
      <c r="H290" s="16"/>
      <c r="I290" s="26"/>
      <c r="J290" s="16"/>
      <c r="K290" s="26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spans="1:31" ht="17.25" customHeight="1" x14ac:dyDescent="0.25">
      <c r="A291" s="15"/>
      <c r="B291" s="15"/>
      <c r="C291" s="16"/>
      <c r="D291" s="15"/>
      <c r="E291" s="26"/>
      <c r="F291" s="16"/>
      <c r="G291" s="26"/>
      <c r="H291" s="16"/>
      <c r="I291" s="26"/>
      <c r="J291" s="16"/>
      <c r="K291" s="26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spans="1:31" ht="17.25" customHeight="1" x14ac:dyDescent="0.25">
      <c r="A292" s="15"/>
      <c r="B292" s="15"/>
      <c r="C292" s="16"/>
      <c r="D292" s="15"/>
      <c r="E292" s="26"/>
      <c r="F292" s="16"/>
      <c r="G292" s="26"/>
      <c r="H292" s="16"/>
      <c r="I292" s="26"/>
      <c r="J292" s="16"/>
      <c r="K292" s="26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spans="1:31" ht="17.25" customHeight="1" x14ac:dyDescent="0.25">
      <c r="A293" s="15"/>
      <c r="B293" s="15"/>
      <c r="C293" s="16"/>
      <c r="D293" s="15"/>
      <c r="E293" s="26"/>
      <c r="F293" s="16"/>
      <c r="G293" s="26"/>
      <c r="H293" s="16"/>
      <c r="I293" s="26"/>
      <c r="J293" s="16"/>
      <c r="K293" s="26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spans="1:31" ht="17.25" customHeight="1" x14ac:dyDescent="0.25">
      <c r="A294" s="15"/>
      <c r="B294" s="15"/>
      <c r="C294" s="16"/>
      <c r="D294" s="15"/>
      <c r="E294" s="26"/>
      <c r="F294" s="16"/>
      <c r="G294" s="26"/>
      <c r="H294" s="16"/>
      <c r="I294" s="26"/>
      <c r="J294" s="16"/>
      <c r="K294" s="26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spans="1:31" ht="17.25" customHeight="1" x14ac:dyDescent="0.25">
      <c r="A295" s="15"/>
      <c r="B295" s="15"/>
      <c r="C295" s="16"/>
      <c r="D295" s="15"/>
      <c r="E295" s="26"/>
      <c r="F295" s="16"/>
      <c r="G295" s="26"/>
      <c r="H295" s="16"/>
      <c r="I295" s="26"/>
      <c r="J295" s="16"/>
      <c r="K295" s="26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spans="1:31" ht="17.25" customHeight="1" x14ac:dyDescent="0.25">
      <c r="A296" s="15"/>
      <c r="B296" s="15"/>
      <c r="C296" s="16"/>
      <c r="D296" s="15"/>
      <c r="E296" s="26"/>
      <c r="F296" s="16"/>
      <c r="G296" s="26"/>
      <c r="H296" s="16"/>
      <c r="I296" s="26"/>
      <c r="J296" s="16"/>
      <c r="K296" s="26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spans="1:31" ht="17.25" customHeight="1" x14ac:dyDescent="0.25">
      <c r="A297" s="15"/>
      <c r="B297" s="15"/>
      <c r="C297" s="16"/>
      <c r="D297" s="15"/>
      <c r="E297" s="26"/>
      <c r="F297" s="16"/>
      <c r="G297" s="26"/>
      <c r="H297" s="16"/>
      <c r="I297" s="26"/>
      <c r="J297" s="16"/>
      <c r="K297" s="26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spans="1:31" ht="17.25" customHeight="1" x14ac:dyDescent="0.25">
      <c r="A298" s="15"/>
      <c r="B298" s="15"/>
      <c r="C298" s="16"/>
      <c r="D298" s="15"/>
      <c r="E298" s="26"/>
      <c r="F298" s="16"/>
      <c r="G298" s="26"/>
      <c r="H298" s="16"/>
      <c r="I298" s="26"/>
      <c r="J298" s="16"/>
      <c r="K298" s="26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spans="1:31" ht="17.25" customHeight="1" x14ac:dyDescent="0.25">
      <c r="A299" s="15"/>
      <c r="B299" s="15"/>
      <c r="C299" s="16"/>
      <c r="D299" s="15"/>
      <c r="E299" s="26"/>
      <c r="F299" s="16"/>
      <c r="G299" s="26"/>
      <c r="H299" s="16"/>
      <c r="I299" s="26"/>
      <c r="J299" s="16"/>
      <c r="K299" s="26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spans="1:31" ht="17.25" customHeight="1" x14ac:dyDescent="0.25">
      <c r="A300" s="15"/>
      <c r="B300" s="15"/>
      <c r="C300" s="16"/>
      <c r="D300" s="15"/>
      <c r="E300" s="26"/>
      <c r="F300" s="16"/>
      <c r="G300" s="26"/>
      <c r="H300" s="16"/>
      <c r="I300" s="26"/>
      <c r="J300" s="16"/>
      <c r="K300" s="26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spans="1:31" ht="17.25" customHeight="1" x14ac:dyDescent="0.25">
      <c r="A301" s="15"/>
      <c r="B301" s="15"/>
      <c r="C301" s="16"/>
      <c r="D301" s="15"/>
      <c r="E301" s="26"/>
      <c r="F301" s="16"/>
      <c r="G301" s="26"/>
      <c r="H301" s="16"/>
      <c r="I301" s="26"/>
      <c r="J301" s="16"/>
      <c r="K301" s="26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spans="1:31" ht="17.25" customHeight="1" x14ac:dyDescent="0.25">
      <c r="A302" s="15"/>
      <c r="B302" s="15"/>
      <c r="C302" s="16"/>
      <c r="D302" s="15"/>
      <c r="E302" s="26"/>
      <c r="F302" s="16"/>
      <c r="G302" s="26"/>
      <c r="H302" s="16"/>
      <c r="I302" s="26"/>
      <c r="J302" s="16"/>
      <c r="K302" s="26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spans="1:31" ht="17.25" customHeight="1" x14ac:dyDescent="0.25">
      <c r="A303" s="15"/>
      <c r="B303" s="15"/>
      <c r="C303" s="16"/>
      <c r="D303" s="15"/>
      <c r="E303" s="26"/>
      <c r="F303" s="16"/>
      <c r="G303" s="26"/>
      <c r="H303" s="16"/>
      <c r="I303" s="26"/>
      <c r="J303" s="16"/>
      <c r="K303" s="26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spans="1:31" ht="17.25" customHeight="1" x14ac:dyDescent="0.25">
      <c r="A304" s="15"/>
      <c r="B304" s="15"/>
      <c r="C304" s="16"/>
      <c r="D304" s="15"/>
      <c r="E304" s="26"/>
      <c r="F304" s="16"/>
      <c r="G304" s="26"/>
      <c r="H304" s="16"/>
      <c r="I304" s="26"/>
      <c r="J304" s="16"/>
      <c r="K304" s="26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spans="1:31" ht="17.25" customHeight="1" x14ac:dyDescent="0.25">
      <c r="A305" s="15"/>
      <c r="B305" s="15"/>
      <c r="C305" s="16"/>
      <c r="D305" s="15"/>
      <c r="E305" s="26"/>
      <c r="F305" s="16"/>
      <c r="G305" s="26"/>
      <c r="H305" s="16"/>
      <c r="I305" s="26"/>
      <c r="J305" s="16"/>
      <c r="K305" s="26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spans="1:31" ht="17.25" customHeight="1" x14ac:dyDescent="0.25">
      <c r="A306" s="15"/>
      <c r="B306" s="15"/>
      <c r="C306" s="16"/>
      <c r="D306" s="15"/>
      <c r="E306" s="26"/>
      <c r="F306" s="16"/>
      <c r="G306" s="26"/>
      <c r="H306" s="16"/>
      <c r="I306" s="26"/>
      <c r="J306" s="16"/>
      <c r="K306" s="26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spans="1:31" ht="17.25" customHeight="1" x14ac:dyDescent="0.25">
      <c r="A307" s="15"/>
      <c r="B307" s="15"/>
      <c r="C307" s="16"/>
      <c r="D307" s="15"/>
      <c r="E307" s="26"/>
      <c r="F307" s="16"/>
      <c r="G307" s="26"/>
      <c r="H307" s="16"/>
      <c r="I307" s="26"/>
      <c r="J307" s="16"/>
      <c r="K307" s="26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spans="1:31" ht="17.25" customHeight="1" x14ac:dyDescent="0.25">
      <c r="A308" s="15"/>
      <c r="B308" s="15"/>
      <c r="C308" s="16"/>
      <c r="D308" s="15"/>
      <c r="E308" s="26"/>
      <c r="F308" s="16"/>
      <c r="G308" s="26"/>
      <c r="H308" s="16"/>
      <c r="I308" s="26"/>
      <c r="J308" s="16"/>
      <c r="K308" s="26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spans="1:31" ht="17.25" customHeight="1" x14ac:dyDescent="0.25">
      <c r="A309" s="15"/>
      <c r="B309" s="15"/>
      <c r="C309" s="16"/>
      <c r="D309" s="15"/>
      <c r="E309" s="26"/>
      <c r="F309" s="16"/>
      <c r="G309" s="26"/>
      <c r="H309" s="16"/>
      <c r="I309" s="26"/>
      <c r="J309" s="16"/>
      <c r="K309" s="26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spans="1:31" ht="17.25" customHeight="1" x14ac:dyDescent="0.25">
      <c r="A310" s="15"/>
      <c r="B310" s="15"/>
      <c r="C310" s="16"/>
      <c r="D310" s="15"/>
      <c r="E310" s="26"/>
      <c r="F310" s="16"/>
      <c r="G310" s="26"/>
      <c r="H310" s="16"/>
      <c r="I310" s="26"/>
      <c r="J310" s="16"/>
      <c r="K310" s="26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spans="1:31" ht="17.25" customHeight="1" x14ac:dyDescent="0.25">
      <c r="A311" s="15"/>
      <c r="B311" s="15"/>
      <c r="C311" s="16"/>
      <c r="D311" s="15"/>
      <c r="E311" s="26"/>
      <c r="F311" s="16"/>
      <c r="G311" s="26"/>
      <c r="H311" s="16"/>
      <c r="I311" s="26"/>
      <c r="J311" s="16"/>
      <c r="K311" s="26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spans="1:31" ht="17.25" customHeight="1" x14ac:dyDescent="0.25">
      <c r="A312" s="15"/>
      <c r="B312" s="15"/>
      <c r="C312" s="16"/>
      <c r="D312" s="15"/>
      <c r="E312" s="26"/>
      <c r="F312" s="16"/>
      <c r="G312" s="26"/>
      <c r="H312" s="16"/>
      <c r="I312" s="26"/>
      <c r="J312" s="16"/>
      <c r="K312" s="26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spans="1:31" ht="17.25" customHeight="1" x14ac:dyDescent="0.25">
      <c r="A313" s="15"/>
      <c r="B313" s="15"/>
      <c r="C313" s="16"/>
      <c r="D313" s="15"/>
      <c r="E313" s="26"/>
      <c r="F313" s="16"/>
      <c r="G313" s="26"/>
      <c r="H313" s="16"/>
      <c r="I313" s="26"/>
      <c r="J313" s="16"/>
      <c r="K313" s="26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spans="1:31" ht="17.25" customHeight="1" x14ac:dyDescent="0.25">
      <c r="A314" s="15"/>
      <c r="B314" s="15"/>
      <c r="C314" s="16"/>
      <c r="D314" s="15"/>
      <c r="E314" s="26"/>
      <c r="F314" s="16"/>
      <c r="G314" s="26"/>
      <c r="H314" s="16"/>
      <c r="I314" s="26"/>
      <c r="J314" s="16"/>
      <c r="K314" s="26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spans="1:31" ht="17.25" customHeight="1" x14ac:dyDescent="0.25">
      <c r="A315" s="15"/>
      <c r="B315" s="15"/>
      <c r="C315" s="16"/>
      <c r="D315" s="15"/>
      <c r="E315" s="26"/>
      <c r="F315" s="16"/>
      <c r="G315" s="26"/>
      <c r="H315" s="16"/>
      <c r="I315" s="26"/>
      <c r="J315" s="16"/>
      <c r="K315" s="26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spans="1:31" ht="17.25" customHeight="1" x14ac:dyDescent="0.25">
      <c r="A316" s="15"/>
      <c r="B316" s="15"/>
      <c r="C316" s="16"/>
      <c r="D316" s="15"/>
      <c r="E316" s="26"/>
      <c r="F316" s="16"/>
      <c r="G316" s="26"/>
      <c r="H316" s="16"/>
      <c r="I316" s="26"/>
      <c r="J316" s="16"/>
      <c r="K316" s="26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spans="1:31" ht="17.25" customHeight="1" x14ac:dyDescent="0.25">
      <c r="A317" s="15"/>
      <c r="B317" s="15"/>
      <c r="C317" s="16"/>
      <c r="D317" s="15"/>
      <c r="E317" s="26"/>
      <c r="F317" s="16"/>
      <c r="G317" s="26"/>
      <c r="H317" s="16"/>
      <c r="I317" s="26"/>
      <c r="J317" s="16"/>
      <c r="K317" s="26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spans="1:31" ht="17.25" customHeight="1" x14ac:dyDescent="0.25">
      <c r="A318" s="15"/>
      <c r="B318" s="15"/>
      <c r="C318" s="16"/>
      <c r="D318" s="15"/>
      <c r="E318" s="26"/>
      <c r="F318" s="16"/>
      <c r="G318" s="26"/>
      <c r="H318" s="16"/>
      <c r="I318" s="26"/>
      <c r="J318" s="16"/>
      <c r="K318" s="26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spans="1:31" ht="17.25" customHeight="1" x14ac:dyDescent="0.25">
      <c r="A319" s="15"/>
      <c r="B319" s="15"/>
      <c r="C319" s="16"/>
      <c r="D319" s="15"/>
      <c r="E319" s="26"/>
      <c r="F319" s="16"/>
      <c r="G319" s="26"/>
      <c r="H319" s="16"/>
      <c r="I319" s="26"/>
      <c r="J319" s="16"/>
      <c r="K319" s="26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spans="1:31" ht="17.25" customHeight="1" x14ac:dyDescent="0.25">
      <c r="A320" s="15"/>
      <c r="B320" s="15"/>
      <c r="C320" s="16"/>
      <c r="D320" s="15"/>
      <c r="E320" s="26"/>
      <c r="F320" s="16"/>
      <c r="G320" s="26"/>
      <c r="H320" s="16"/>
      <c r="I320" s="26"/>
      <c r="J320" s="16"/>
      <c r="K320" s="26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spans="1:31" ht="17.25" customHeight="1" x14ac:dyDescent="0.25">
      <c r="A321" s="15"/>
      <c r="B321" s="15"/>
      <c r="C321" s="16"/>
      <c r="D321" s="15"/>
      <c r="E321" s="26"/>
      <c r="F321" s="16"/>
      <c r="G321" s="26"/>
      <c r="H321" s="16"/>
      <c r="I321" s="26"/>
      <c r="J321" s="16"/>
      <c r="K321" s="26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spans="1:31" ht="17.25" customHeight="1" x14ac:dyDescent="0.25">
      <c r="A322" s="15"/>
      <c r="B322" s="15"/>
      <c r="C322" s="16"/>
      <c r="D322" s="15"/>
      <c r="E322" s="26"/>
      <c r="F322" s="16"/>
      <c r="G322" s="26"/>
      <c r="H322" s="16"/>
      <c r="I322" s="26"/>
      <c r="J322" s="16"/>
      <c r="K322" s="26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spans="1:31" ht="17.25" customHeight="1" x14ac:dyDescent="0.25">
      <c r="A323" s="15"/>
      <c r="B323" s="15"/>
      <c r="C323" s="16"/>
      <c r="D323" s="15"/>
      <c r="E323" s="26"/>
      <c r="F323" s="16"/>
      <c r="G323" s="26"/>
      <c r="H323" s="16"/>
      <c r="I323" s="26"/>
      <c r="J323" s="16"/>
      <c r="K323" s="26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spans="1:31" ht="17.25" customHeight="1" x14ac:dyDescent="0.25">
      <c r="A324" s="15"/>
      <c r="B324" s="15"/>
      <c r="C324" s="16"/>
      <c r="D324" s="15"/>
      <c r="E324" s="26"/>
      <c r="F324" s="16"/>
      <c r="G324" s="26"/>
      <c r="H324" s="16"/>
      <c r="I324" s="26"/>
      <c r="J324" s="16"/>
      <c r="K324" s="26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spans="1:31" ht="17.25" customHeight="1" x14ac:dyDescent="0.25">
      <c r="A325" s="15"/>
      <c r="B325" s="15"/>
      <c r="C325" s="16"/>
      <c r="D325" s="15"/>
      <c r="E325" s="26"/>
      <c r="F325" s="16"/>
      <c r="G325" s="26"/>
      <c r="H325" s="16"/>
      <c r="I325" s="26"/>
      <c r="J325" s="16"/>
      <c r="K325" s="26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spans="1:31" ht="17.25" customHeight="1" x14ac:dyDescent="0.25">
      <c r="A326" s="15"/>
      <c r="B326" s="15"/>
      <c r="C326" s="16"/>
      <c r="D326" s="15"/>
      <c r="E326" s="26"/>
      <c r="F326" s="16"/>
      <c r="G326" s="26"/>
      <c r="H326" s="16"/>
      <c r="I326" s="26"/>
      <c r="J326" s="16"/>
      <c r="K326" s="26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spans="1:31" ht="17.25" customHeight="1" x14ac:dyDescent="0.25">
      <c r="A327" s="15"/>
      <c r="B327" s="15"/>
      <c r="C327" s="16"/>
      <c r="D327" s="15"/>
      <c r="E327" s="26"/>
      <c r="F327" s="16"/>
      <c r="G327" s="26"/>
      <c r="H327" s="16"/>
      <c r="I327" s="26"/>
      <c r="J327" s="16"/>
      <c r="K327" s="26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spans="1:31" ht="17.25" customHeight="1" x14ac:dyDescent="0.25">
      <c r="A328" s="15"/>
      <c r="B328" s="15"/>
      <c r="C328" s="16"/>
      <c r="D328" s="15"/>
      <c r="E328" s="26"/>
      <c r="F328" s="16"/>
      <c r="G328" s="26"/>
      <c r="H328" s="16"/>
      <c r="I328" s="26"/>
      <c r="J328" s="16"/>
      <c r="K328" s="26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spans="1:31" ht="17.25" customHeight="1" x14ac:dyDescent="0.25">
      <c r="A329" s="15"/>
      <c r="B329" s="15"/>
      <c r="C329" s="16"/>
      <c r="D329" s="15"/>
      <c r="E329" s="26"/>
      <c r="F329" s="16"/>
      <c r="G329" s="26"/>
      <c r="H329" s="16"/>
      <c r="I329" s="26"/>
      <c r="J329" s="16"/>
      <c r="K329" s="26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spans="1:31" ht="17.25" customHeight="1" x14ac:dyDescent="0.25">
      <c r="A330" s="15"/>
      <c r="B330" s="15"/>
      <c r="C330" s="16"/>
      <c r="D330" s="15"/>
      <c r="E330" s="26"/>
      <c r="F330" s="16"/>
      <c r="G330" s="26"/>
      <c r="H330" s="16"/>
      <c r="I330" s="26"/>
      <c r="J330" s="16"/>
      <c r="K330" s="26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spans="1:31" ht="17.25" customHeight="1" x14ac:dyDescent="0.25">
      <c r="A331" s="15"/>
      <c r="B331" s="15"/>
      <c r="C331" s="16"/>
      <c r="D331" s="15"/>
      <c r="E331" s="26"/>
      <c r="F331" s="16"/>
      <c r="G331" s="26"/>
      <c r="H331" s="16"/>
      <c r="I331" s="26"/>
      <c r="J331" s="16"/>
      <c r="K331" s="26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spans="1:31" ht="17.25" customHeight="1" x14ac:dyDescent="0.25">
      <c r="A332" s="15"/>
      <c r="B332" s="15"/>
      <c r="C332" s="16"/>
      <c r="D332" s="15"/>
      <c r="E332" s="26"/>
      <c r="F332" s="16"/>
      <c r="G332" s="26"/>
      <c r="H332" s="16"/>
      <c r="I332" s="26"/>
      <c r="J332" s="16"/>
      <c r="K332" s="26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ht="17.25" customHeight="1" x14ac:dyDescent="0.25">
      <c r="A333" s="15"/>
      <c r="B333" s="15"/>
      <c r="C333" s="16"/>
      <c r="D333" s="15"/>
      <c r="E333" s="26"/>
      <c r="F333" s="16"/>
      <c r="G333" s="26"/>
      <c r="H333" s="16"/>
      <c r="I333" s="26"/>
      <c r="J333" s="16"/>
      <c r="K333" s="26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ht="17.25" customHeight="1" x14ac:dyDescent="0.25">
      <c r="A334" s="15"/>
      <c r="B334" s="15"/>
      <c r="C334" s="16"/>
      <c r="D334" s="15"/>
      <c r="E334" s="26"/>
      <c r="F334" s="16"/>
      <c r="G334" s="26"/>
      <c r="H334" s="16"/>
      <c r="I334" s="26"/>
      <c r="J334" s="16"/>
      <c r="K334" s="26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ht="17.25" customHeight="1" x14ac:dyDescent="0.25">
      <c r="A335" s="15"/>
      <c r="B335" s="15"/>
      <c r="C335" s="16"/>
      <c r="D335" s="15"/>
      <c r="E335" s="26"/>
      <c r="F335" s="16"/>
      <c r="G335" s="26"/>
      <c r="H335" s="16"/>
      <c r="I335" s="26"/>
      <c r="J335" s="16"/>
      <c r="K335" s="26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ht="17.25" customHeight="1" x14ac:dyDescent="0.25">
      <c r="A336" s="15"/>
      <c r="B336" s="15"/>
      <c r="C336" s="16"/>
      <c r="D336" s="15"/>
      <c r="E336" s="26"/>
      <c r="F336" s="16"/>
      <c r="G336" s="26"/>
      <c r="H336" s="16"/>
      <c r="I336" s="26"/>
      <c r="J336" s="16"/>
      <c r="K336" s="26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ht="17.25" customHeight="1" x14ac:dyDescent="0.25">
      <c r="A337" s="15"/>
      <c r="B337" s="15"/>
      <c r="C337" s="16"/>
      <c r="D337" s="15"/>
      <c r="E337" s="26"/>
      <c r="F337" s="16"/>
      <c r="G337" s="26"/>
      <c r="H337" s="16"/>
      <c r="I337" s="26"/>
      <c r="J337" s="16"/>
      <c r="K337" s="26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ht="17.25" customHeight="1" x14ac:dyDescent="0.25">
      <c r="A338" s="15"/>
      <c r="B338" s="15"/>
      <c r="C338" s="16"/>
      <c r="D338" s="15"/>
      <c r="E338" s="26"/>
      <c r="F338" s="16"/>
      <c r="G338" s="26"/>
      <c r="H338" s="16"/>
      <c r="I338" s="26"/>
      <c r="J338" s="16"/>
      <c r="K338" s="2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ht="17.25" customHeight="1" x14ac:dyDescent="0.25">
      <c r="A339" s="15"/>
      <c r="B339" s="15"/>
      <c r="C339" s="16"/>
      <c r="D339" s="15"/>
      <c r="E339" s="26"/>
      <c r="F339" s="16"/>
      <c r="G339" s="26"/>
      <c r="H339" s="16"/>
      <c r="I339" s="26"/>
      <c r="J339" s="16"/>
      <c r="K339" s="2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ht="17.25" customHeight="1" x14ac:dyDescent="0.25">
      <c r="A340" s="15"/>
      <c r="B340" s="15"/>
      <c r="C340" s="16"/>
      <c r="D340" s="15"/>
      <c r="E340" s="26"/>
      <c r="F340" s="16"/>
      <c r="G340" s="26"/>
      <c r="H340" s="16"/>
      <c r="I340" s="26"/>
      <c r="J340" s="16"/>
      <c r="K340" s="26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ht="17.25" customHeight="1" x14ac:dyDescent="0.25">
      <c r="A341" s="15"/>
      <c r="B341" s="15"/>
      <c r="C341" s="16"/>
      <c r="D341" s="15"/>
      <c r="E341" s="26"/>
      <c r="F341" s="16"/>
      <c r="G341" s="26"/>
      <c r="H341" s="16"/>
      <c r="I341" s="26"/>
      <c r="J341" s="16"/>
      <c r="K341" s="26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ht="17.25" customHeight="1" x14ac:dyDescent="0.25">
      <c r="A342" s="15"/>
      <c r="B342" s="15"/>
      <c r="C342" s="16"/>
      <c r="D342" s="15"/>
      <c r="E342" s="26"/>
      <c r="F342" s="16"/>
      <c r="G342" s="26"/>
      <c r="H342" s="16"/>
      <c r="I342" s="26"/>
      <c r="J342" s="16"/>
      <c r="K342" s="26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ht="17.25" customHeight="1" x14ac:dyDescent="0.25">
      <c r="A343" s="15"/>
      <c r="B343" s="15"/>
      <c r="C343" s="16"/>
      <c r="D343" s="15"/>
      <c r="E343" s="26"/>
      <c r="F343" s="16"/>
      <c r="G343" s="26"/>
      <c r="H343" s="16"/>
      <c r="I343" s="26"/>
      <c r="J343" s="16"/>
      <c r="K343" s="26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ht="17.25" customHeight="1" x14ac:dyDescent="0.25">
      <c r="A344" s="15"/>
      <c r="B344" s="15"/>
      <c r="C344" s="16"/>
      <c r="D344" s="15"/>
      <c r="E344" s="26"/>
      <c r="F344" s="16"/>
      <c r="G344" s="26"/>
      <c r="H344" s="16"/>
      <c r="I344" s="26"/>
      <c r="J344" s="16"/>
      <c r="K344" s="26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ht="17.25" customHeight="1" x14ac:dyDescent="0.25">
      <c r="A345" s="15"/>
      <c r="B345" s="15"/>
      <c r="C345" s="16"/>
      <c r="D345" s="15"/>
      <c r="E345" s="26"/>
      <c r="F345" s="16"/>
      <c r="G345" s="26"/>
      <c r="H345" s="16"/>
      <c r="I345" s="26"/>
      <c r="J345" s="16"/>
      <c r="K345" s="26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ht="17.25" customHeight="1" x14ac:dyDescent="0.25">
      <c r="A346" s="15"/>
      <c r="B346" s="15"/>
      <c r="C346" s="16"/>
      <c r="D346" s="15"/>
      <c r="E346" s="26"/>
      <c r="F346" s="16"/>
      <c r="G346" s="26"/>
      <c r="H346" s="16"/>
      <c r="I346" s="26"/>
      <c r="J346" s="16"/>
      <c r="K346" s="26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spans="1:31" ht="17.25" customHeight="1" x14ac:dyDescent="0.25">
      <c r="A347" s="15"/>
      <c r="B347" s="15"/>
      <c r="C347" s="16"/>
      <c r="D347" s="15"/>
      <c r="E347" s="26"/>
      <c r="F347" s="16"/>
      <c r="G347" s="26"/>
      <c r="H347" s="16"/>
      <c r="I347" s="26"/>
      <c r="J347" s="16"/>
      <c r="K347" s="26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spans="1:31" ht="17.25" customHeight="1" x14ac:dyDescent="0.25">
      <c r="A348" s="15"/>
      <c r="B348" s="15"/>
      <c r="C348" s="16"/>
      <c r="D348" s="15"/>
      <c r="E348" s="26"/>
      <c r="F348" s="16"/>
      <c r="G348" s="26"/>
      <c r="H348" s="16"/>
      <c r="I348" s="26"/>
      <c r="J348" s="16"/>
      <c r="K348" s="26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ht="17.25" customHeight="1" x14ac:dyDescent="0.25">
      <c r="A349" s="15"/>
      <c r="B349" s="15"/>
      <c r="C349" s="16"/>
      <c r="D349" s="15"/>
      <c r="E349" s="26"/>
      <c r="F349" s="16"/>
      <c r="G349" s="26"/>
      <c r="H349" s="16"/>
      <c r="I349" s="26"/>
      <c r="J349" s="16"/>
      <c r="K349" s="26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ht="17.25" customHeight="1" x14ac:dyDescent="0.25">
      <c r="A350" s="15"/>
      <c r="B350" s="15"/>
      <c r="C350" s="16"/>
      <c r="D350" s="15"/>
      <c r="E350" s="26"/>
      <c r="F350" s="16"/>
      <c r="G350" s="26"/>
      <c r="H350" s="16"/>
      <c r="I350" s="26"/>
      <c r="J350" s="16"/>
      <c r="K350" s="26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spans="1:31" ht="17.25" customHeight="1" x14ac:dyDescent="0.25">
      <c r="A351" s="15"/>
      <c r="B351" s="15"/>
      <c r="C351" s="16"/>
      <c r="D351" s="15"/>
      <c r="E351" s="26"/>
      <c r="F351" s="16"/>
      <c r="G351" s="26"/>
      <c r="H351" s="16"/>
      <c r="I351" s="26"/>
      <c r="J351" s="16"/>
      <c r="K351" s="26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spans="1:31" ht="17.25" customHeight="1" x14ac:dyDescent="0.25">
      <c r="A352" s="15"/>
      <c r="B352" s="15"/>
      <c r="C352" s="16"/>
      <c r="D352" s="15"/>
      <c r="E352" s="26"/>
      <c r="F352" s="16"/>
      <c r="G352" s="26"/>
      <c r="H352" s="16"/>
      <c r="I352" s="26"/>
      <c r="J352" s="16"/>
      <c r="K352" s="26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ht="17.25" customHeight="1" x14ac:dyDescent="0.25">
      <c r="A353" s="15"/>
      <c r="B353" s="15"/>
      <c r="C353" s="16"/>
      <c r="D353" s="15"/>
      <c r="E353" s="26"/>
      <c r="F353" s="16"/>
      <c r="G353" s="26"/>
      <c r="H353" s="16"/>
      <c r="I353" s="26"/>
      <c r="J353" s="16"/>
      <c r="K353" s="26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ht="17.25" customHeight="1" x14ac:dyDescent="0.25">
      <c r="A354" s="15"/>
      <c r="B354" s="15"/>
      <c r="C354" s="16"/>
      <c r="D354" s="15"/>
      <c r="E354" s="26"/>
      <c r="F354" s="16"/>
      <c r="G354" s="26"/>
      <c r="H354" s="16"/>
      <c r="I354" s="26"/>
      <c r="J354" s="16"/>
      <c r="K354" s="26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ht="17.25" customHeight="1" x14ac:dyDescent="0.25">
      <c r="A355" s="15"/>
      <c r="B355" s="15"/>
      <c r="C355" s="16"/>
      <c r="D355" s="15"/>
      <c r="E355" s="26"/>
      <c r="F355" s="16"/>
      <c r="G355" s="26"/>
      <c r="H355" s="16"/>
      <c r="I355" s="26"/>
      <c r="J355" s="16"/>
      <c r="K355" s="26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ht="17.25" customHeight="1" x14ac:dyDescent="0.25">
      <c r="A356" s="15"/>
      <c r="B356" s="15"/>
      <c r="C356" s="16"/>
      <c r="D356" s="15"/>
      <c r="E356" s="26"/>
      <c r="F356" s="16"/>
      <c r="G356" s="26"/>
      <c r="H356" s="16"/>
      <c r="I356" s="26"/>
      <c r="J356" s="16"/>
      <c r="K356" s="26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ht="17.25" customHeight="1" x14ac:dyDescent="0.25">
      <c r="A357" s="15"/>
      <c r="B357" s="15"/>
      <c r="C357" s="16"/>
      <c r="D357" s="15"/>
      <c r="E357" s="26"/>
      <c r="F357" s="16"/>
      <c r="G357" s="26"/>
      <c r="H357" s="16"/>
      <c r="I357" s="26"/>
      <c r="J357" s="16"/>
      <c r="K357" s="26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ht="17.25" customHeight="1" x14ac:dyDescent="0.25">
      <c r="A358" s="15"/>
      <c r="B358" s="15"/>
      <c r="C358" s="16"/>
      <c r="D358" s="15"/>
      <c r="E358" s="26"/>
      <c r="F358" s="16"/>
      <c r="G358" s="26"/>
      <c r="H358" s="16"/>
      <c r="I358" s="26"/>
      <c r="J358" s="16"/>
      <c r="K358" s="26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ht="17.25" customHeight="1" x14ac:dyDescent="0.25">
      <c r="A359" s="15"/>
      <c r="B359" s="15"/>
      <c r="C359" s="16"/>
      <c r="D359" s="15"/>
      <c r="E359" s="26"/>
      <c r="F359" s="16"/>
      <c r="G359" s="26"/>
      <c r="H359" s="16"/>
      <c r="I359" s="26"/>
      <c r="J359" s="16"/>
      <c r="K359" s="26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ht="17.25" customHeight="1" x14ac:dyDescent="0.25">
      <c r="A360" s="15"/>
      <c r="B360" s="15"/>
      <c r="C360" s="16"/>
      <c r="D360" s="15"/>
      <c r="E360" s="26"/>
      <c r="F360" s="16"/>
      <c r="G360" s="26"/>
      <c r="H360" s="16"/>
      <c r="I360" s="26"/>
      <c r="J360" s="16"/>
      <c r="K360" s="26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ht="17.25" customHeight="1" x14ac:dyDescent="0.25">
      <c r="A361" s="15"/>
      <c r="B361" s="15"/>
      <c r="C361" s="16"/>
      <c r="D361" s="15"/>
      <c r="E361" s="26"/>
      <c r="F361" s="16"/>
      <c r="G361" s="26"/>
      <c r="H361" s="16"/>
      <c r="I361" s="26"/>
      <c r="J361" s="16"/>
      <c r="K361" s="26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ht="17.25" customHeight="1" x14ac:dyDescent="0.25">
      <c r="A362" s="15"/>
      <c r="B362" s="15"/>
      <c r="C362" s="16"/>
      <c r="D362" s="15"/>
      <c r="E362" s="26"/>
      <c r="F362" s="16"/>
      <c r="G362" s="26"/>
      <c r="H362" s="16"/>
      <c r="I362" s="26"/>
      <c r="J362" s="16"/>
      <c r="K362" s="2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ht="17.25" customHeight="1" x14ac:dyDescent="0.25">
      <c r="A363" s="15"/>
      <c r="B363" s="15"/>
      <c r="C363" s="16"/>
      <c r="D363" s="15"/>
      <c r="E363" s="26"/>
      <c r="F363" s="16"/>
      <c r="G363" s="26"/>
      <c r="H363" s="16"/>
      <c r="I363" s="26"/>
      <c r="J363" s="16"/>
      <c r="K363" s="2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ht="17.25" customHeight="1" x14ac:dyDescent="0.25">
      <c r="A364" s="15"/>
      <c r="B364" s="15"/>
      <c r="C364" s="16"/>
      <c r="D364" s="15"/>
      <c r="E364" s="26"/>
      <c r="F364" s="16"/>
      <c r="G364" s="26"/>
      <c r="H364" s="16"/>
      <c r="I364" s="26"/>
      <c r="J364" s="16"/>
      <c r="K364" s="2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ht="17.25" customHeight="1" x14ac:dyDescent="0.25">
      <c r="A365" s="15"/>
      <c r="B365" s="15"/>
      <c r="C365" s="16"/>
      <c r="D365" s="15"/>
      <c r="E365" s="26"/>
      <c r="F365" s="16"/>
      <c r="G365" s="26"/>
      <c r="H365" s="16"/>
      <c r="I365" s="26"/>
      <c r="J365" s="16"/>
      <c r="K365" s="2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ht="17.25" customHeight="1" x14ac:dyDescent="0.25">
      <c r="A366" s="15"/>
      <c r="B366" s="15"/>
      <c r="C366" s="16"/>
      <c r="D366" s="15"/>
      <c r="E366" s="26"/>
      <c r="F366" s="16"/>
      <c r="G366" s="26"/>
      <c r="H366" s="16"/>
      <c r="I366" s="26"/>
      <c r="J366" s="16"/>
      <c r="K366" s="2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ht="17.25" customHeight="1" x14ac:dyDescent="0.25">
      <c r="A367" s="15"/>
      <c r="B367" s="15"/>
      <c r="C367" s="16"/>
      <c r="D367" s="15"/>
      <c r="E367" s="26"/>
      <c r="F367" s="16"/>
      <c r="G367" s="26"/>
      <c r="H367" s="16"/>
      <c r="I367" s="26"/>
      <c r="J367" s="16"/>
      <c r="K367" s="2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ht="17.25" customHeight="1" x14ac:dyDescent="0.25">
      <c r="A368" s="15"/>
      <c r="B368" s="15"/>
      <c r="C368" s="16"/>
      <c r="D368" s="15"/>
      <c r="E368" s="26"/>
      <c r="F368" s="16"/>
      <c r="G368" s="26"/>
      <c r="H368" s="16"/>
      <c r="I368" s="26"/>
      <c r="J368" s="16"/>
      <c r="K368" s="26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spans="1:31" ht="17.25" customHeight="1" x14ac:dyDescent="0.25">
      <c r="A369" s="15"/>
      <c r="B369" s="15"/>
      <c r="C369" s="16"/>
      <c r="D369" s="15"/>
      <c r="E369" s="26"/>
      <c r="F369" s="16"/>
      <c r="G369" s="26"/>
      <c r="H369" s="16"/>
      <c r="I369" s="26"/>
      <c r="J369" s="16"/>
      <c r="K369" s="26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spans="1:31" ht="17.25" customHeight="1" x14ac:dyDescent="0.25">
      <c r="A370" s="15"/>
      <c r="B370" s="15"/>
      <c r="C370" s="16"/>
      <c r="D370" s="15"/>
      <c r="E370" s="26"/>
      <c r="F370" s="16"/>
      <c r="G370" s="26"/>
      <c r="H370" s="16"/>
      <c r="I370" s="26"/>
      <c r="J370" s="16"/>
      <c r="K370" s="26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spans="1:31" ht="17.25" customHeight="1" x14ac:dyDescent="0.25">
      <c r="A371" s="15"/>
      <c r="B371" s="15"/>
      <c r="C371" s="16"/>
      <c r="D371" s="15"/>
      <c r="E371" s="26"/>
      <c r="F371" s="16"/>
      <c r="G371" s="26"/>
      <c r="H371" s="16"/>
      <c r="I371" s="26"/>
      <c r="J371" s="16"/>
      <c r="K371" s="26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spans="1:31" ht="17.25" customHeight="1" x14ac:dyDescent="0.25">
      <c r="A372" s="15"/>
      <c r="B372" s="15"/>
      <c r="C372" s="16"/>
      <c r="D372" s="15"/>
      <c r="E372" s="26"/>
      <c r="F372" s="16"/>
      <c r="G372" s="26"/>
      <c r="H372" s="16"/>
      <c r="I372" s="26"/>
      <c r="J372" s="16"/>
      <c r="K372" s="26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spans="1:31" ht="17.25" customHeight="1" x14ac:dyDescent="0.25">
      <c r="A373" s="15"/>
      <c r="B373" s="15"/>
      <c r="C373" s="16"/>
      <c r="D373" s="15"/>
      <c r="E373" s="26"/>
      <c r="F373" s="16"/>
      <c r="G373" s="26"/>
      <c r="H373" s="16"/>
      <c r="I373" s="26"/>
      <c r="J373" s="16"/>
      <c r="K373" s="26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spans="1:31" ht="17.25" customHeight="1" x14ac:dyDescent="0.25">
      <c r="A374" s="15"/>
      <c r="B374" s="15"/>
      <c r="C374" s="16"/>
      <c r="D374" s="15"/>
      <c r="E374" s="26"/>
      <c r="F374" s="16"/>
      <c r="G374" s="26"/>
      <c r="H374" s="16"/>
      <c r="I374" s="26"/>
      <c r="J374" s="16"/>
      <c r="K374" s="26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spans="1:31" ht="17.25" customHeight="1" x14ac:dyDescent="0.25">
      <c r="A375" s="15"/>
      <c r="B375" s="15"/>
      <c r="C375" s="16"/>
      <c r="D375" s="15"/>
      <c r="E375" s="26"/>
      <c r="F375" s="16"/>
      <c r="G375" s="26"/>
      <c r="H375" s="16"/>
      <c r="I375" s="26"/>
      <c r="J375" s="16"/>
      <c r="K375" s="26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spans="1:31" ht="17.25" customHeight="1" x14ac:dyDescent="0.25">
      <c r="A376" s="15"/>
      <c r="B376" s="15"/>
      <c r="C376" s="16"/>
      <c r="D376" s="15"/>
      <c r="E376" s="26"/>
      <c r="F376" s="16"/>
      <c r="G376" s="26"/>
      <c r="H376" s="16"/>
      <c r="I376" s="26"/>
      <c r="J376" s="16"/>
      <c r="K376" s="26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spans="1:31" ht="17.25" customHeight="1" x14ac:dyDescent="0.25">
      <c r="A377" s="15"/>
      <c r="B377" s="15"/>
      <c r="C377" s="16"/>
      <c r="D377" s="15"/>
      <c r="E377" s="26"/>
      <c r="F377" s="16"/>
      <c r="G377" s="26"/>
      <c r="H377" s="16"/>
      <c r="I377" s="26"/>
      <c r="J377" s="16"/>
      <c r="K377" s="26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spans="1:31" ht="17.25" customHeight="1" x14ac:dyDescent="0.25">
      <c r="A378" s="15"/>
      <c r="B378" s="15"/>
      <c r="C378" s="16"/>
      <c r="D378" s="15"/>
      <c r="E378" s="26"/>
      <c r="F378" s="16"/>
      <c r="G378" s="26"/>
      <c r="H378" s="16"/>
      <c r="I378" s="26"/>
      <c r="J378" s="16"/>
      <c r="K378" s="26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spans="1:31" ht="17.25" customHeight="1" x14ac:dyDescent="0.25">
      <c r="A379" s="15"/>
      <c r="B379" s="15"/>
      <c r="C379" s="16"/>
      <c r="D379" s="15"/>
      <c r="E379" s="26"/>
      <c r="F379" s="16"/>
      <c r="G379" s="26"/>
      <c r="H379" s="16"/>
      <c r="I379" s="26"/>
      <c r="J379" s="16"/>
      <c r="K379" s="26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spans="1:31" ht="17.25" customHeight="1" x14ac:dyDescent="0.25">
      <c r="A380" s="15"/>
      <c r="B380" s="15"/>
      <c r="C380" s="16"/>
      <c r="D380" s="15"/>
      <c r="E380" s="26"/>
      <c r="F380" s="16"/>
      <c r="G380" s="26"/>
      <c r="H380" s="16"/>
      <c r="I380" s="26"/>
      <c r="J380" s="16"/>
      <c r="K380" s="26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spans="1:31" ht="17.25" customHeight="1" x14ac:dyDescent="0.25">
      <c r="A381" s="15"/>
      <c r="B381" s="15"/>
      <c r="C381" s="16"/>
      <c r="D381" s="15"/>
      <c r="E381" s="26"/>
      <c r="F381" s="16"/>
      <c r="G381" s="26"/>
      <c r="H381" s="16"/>
      <c r="I381" s="26"/>
      <c r="J381" s="16"/>
      <c r="K381" s="26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spans="1:31" ht="17.25" customHeight="1" x14ac:dyDescent="0.25">
      <c r="A382" s="15"/>
      <c r="B382" s="15"/>
      <c r="C382" s="16"/>
      <c r="D382" s="15"/>
      <c r="E382" s="26"/>
      <c r="F382" s="16"/>
      <c r="G382" s="26"/>
      <c r="H382" s="16"/>
      <c r="I382" s="26"/>
      <c r="J382" s="16"/>
      <c r="K382" s="26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spans="1:31" ht="17.25" customHeight="1" x14ac:dyDescent="0.25">
      <c r="A383" s="15"/>
      <c r="B383" s="15"/>
      <c r="C383" s="16"/>
      <c r="D383" s="15"/>
      <c r="E383" s="26"/>
      <c r="F383" s="16"/>
      <c r="G383" s="26"/>
      <c r="H383" s="16"/>
      <c r="I383" s="26"/>
      <c r="J383" s="16"/>
      <c r="K383" s="26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spans="1:31" ht="17.25" customHeight="1" x14ac:dyDescent="0.25">
      <c r="A384" s="15"/>
      <c r="B384" s="15"/>
      <c r="C384" s="16"/>
      <c r="D384" s="15"/>
      <c r="E384" s="26"/>
      <c r="F384" s="16"/>
      <c r="G384" s="26"/>
      <c r="H384" s="16"/>
      <c r="I384" s="26"/>
      <c r="J384" s="16"/>
      <c r="K384" s="26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spans="1:31" ht="17.25" customHeight="1" x14ac:dyDescent="0.25">
      <c r="A385" s="15"/>
      <c r="B385" s="15"/>
      <c r="C385" s="16"/>
      <c r="D385" s="15"/>
      <c r="E385" s="26"/>
      <c r="F385" s="16"/>
      <c r="G385" s="26"/>
      <c r="H385" s="16"/>
      <c r="I385" s="26"/>
      <c r="J385" s="16"/>
      <c r="K385" s="26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spans="1:31" ht="17.25" customHeight="1" x14ac:dyDescent="0.25">
      <c r="A386" s="15"/>
      <c r="B386" s="15"/>
      <c r="C386" s="16"/>
      <c r="D386" s="15"/>
      <c r="E386" s="26"/>
      <c r="F386" s="16"/>
      <c r="G386" s="26"/>
      <c r="H386" s="16"/>
      <c r="I386" s="26"/>
      <c r="J386" s="16"/>
      <c r="K386" s="26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spans="1:31" ht="17.25" customHeight="1" x14ac:dyDescent="0.25">
      <c r="A387" s="15"/>
      <c r="B387" s="15"/>
      <c r="C387" s="16"/>
      <c r="D387" s="15"/>
      <c r="E387" s="26"/>
      <c r="F387" s="16"/>
      <c r="G387" s="26"/>
      <c r="H387" s="16"/>
      <c r="I387" s="26"/>
      <c r="J387" s="16"/>
      <c r="K387" s="26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spans="1:31" ht="17.25" customHeight="1" x14ac:dyDescent="0.25">
      <c r="A388" s="15"/>
      <c r="B388" s="15"/>
      <c r="C388" s="16"/>
      <c r="D388" s="15"/>
      <c r="E388" s="26"/>
      <c r="F388" s="16"/>
      <c r="G388" s="26"/>
      <c r="H388" s="16"/>
      <c r="I388" s="26"/>
      <c r="J388" s="16"/>
      <c r="K388" s="26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spans="1:31" ht="17.25" customHeight="1" x14ac:dyDescent="0.25">
      <c r="A389" s="15"/>
      <c r="B389" s="15"/>
      <c r="C389" s="16"/>
      <c r="D389" s="15"/>
      <c r="E389" s="26"/>
      <c r="F389" s="16"/>
      <c r="G389" s="26"/>
      <c r="H389" s="16"/>
      <c r="I389" s="26"/>
      <c r="J389" s="16"/>
      <c r="K389" s="26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spans="1:31" ht="17.25" customHeight="1" x14ac:dyDescent="0.25">
      <c r="A390" s="15"/>
      <c r="B390" s="15"/>
      <c r="C390" s="16"/>
      <c r="D390" s="15"/>
      <c r="E390" s="26"/>
      <c r="F390" s="16"/>
      <c r="G390" s="26"/>
      <c r="H390" s="16"/>
      <c r="I390" s="26"/>
      <c r="J390" s="16"/>
      <c r="K390" s="26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spans="1:31" ht="17.25" customHeight="1" x14ac:dyDescent="0.25">
      <c r="A391" s="15"/>
      <c r="B391" s="15"/>
      <c r="C391" s="16"/>
      <c r="D391" s="15"/>
      <c r="E391" s="26"/>
      <c r="F391" s="16"/>
      <c r="G391" s="26"/>
      <c r="H391" s="16"/>
      <c r="I391" s="26"/>
      <c r="J391" s="16"/>
      <c r="K391" s="26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spans="1:31" ht="17.25" customHeight="1" x14ac:dyDescent="0.25">
      <c r="A392" s="15"/>
      <c r="B392" s="15"/>
      <c r="C392" s="16"/>
      <c r="D392" s="15"/>
      <c r="E392" s="26"/>
      <c r="F392" s="16"/>
      <c r="G392" s="26"/>
      <c r="H392" s="16"/>
      <c r="I392" s="26"/>
      <c r="J392" s="16"/>
      <c r="K392" s="26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spans="1:31" ht="17.25" customHeight="1" x14ac:dyDescent="0.25">
      <c r="A393" s="15"/>
      <c r="B393" s="15"/>
      <c r="C393" s="16"/>
      <c r="D393" s="15"/>
      <c r="E393" s="26"/>
      <c r="F393" s="16"/>
      <c r="G393" s="26"/>
      <c r="H393" s="16"/>
      <c r="I393" s="26"/>
      <c r="J393" s="16"/>
      <c r="K393" s="26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spans="1:31" ht="17.25" customHeight="1" x14ac:dyDescent="0.25">
      <c r="A394" s="15"/>
      <c r="B394" s="15"/>
      <c r="C394" s="16"/>
      <c r="D394" s="15"/>
      <c r="E394" s="26"/>
      <c r="F394" s="16"/>
      <c r="G394" s="26"/>
      <c r="H394" s="16"/>
      <c r="I394" s="26"/>
      <c r="J394" s="16"/>
      <c r="K394" s="26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spans="1:31" ht="17.25" customHeight="1" x14ac:dyDescent="0.25">
      <c r="A395" s="15"/>
      <c r="B395" s="15"/>
      <c r="C395" s="16"/>
      <c r="D395" s="15"/>
      <c r="E395" s="26"/>
      <c r="F395" s="16"/>
      <c r="G395" s="26"/>
      <c r="H395" s="16"/>
      <c r="I395" s="26"/>
      <c r="J395" s="16"/>
      <c r="K395" s="26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spans="1:31" ht="17.25" customHeight="1" x14ac:dyDescent="0.25">
      <c r="A396" s="15"/>
      <c r="B396" s="15"/>
      <c r="C396" s="16"/>
      <c r="D396" s="15"/>
      <c r="E396" s="26"/>
      <c r="F396" s="16"/>
      <c r="G396" s="26"/>
      <c r="H396" s="16"/>
      <c r="I396" s="26"/>
      <c r="J396" s="16"/>
      <c r="K396" s="26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spans="1:31" ht="17.25" customHeight="1" x14ac:dyDescent="0.25">
      <c r="A397" s="15"/>
      <c r="B397" s="15"/>
      <c r="C397" s="16"/>
      <c r="D397" s="15"/>
      <c r="E397" s="26"/>
      <c r="F397" s="16"/>
      <c r="G397" s="26"/>
      <c r="H397" s="16"/>
      <c r="I397" s="26"/>
      <c r="J397" s="16"/>
      <c r="K397" s="26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spans="1:31" ht="17.25" customHeight="1" x14ac:dyDescent="0.25">
      <c r="A398" s="15"/>
      <c r="B398" s="15"/>
      <c r="C398" s="16"/>
      <c r="D398" s="15"/>
      <c r="E398" s="26"/>
      <c r="F398" s="16"/>
      <c r="G398" s="26"/>
      <c r="H398" s="16"/>
      <c r="I398" s="26"/>
      <c r="J398" s="16"/>
      <c r="K398" s="26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spans="1:31" ht="17.25" customHeight="1" x14ac:dyDescent="0.25">
      <c r="A399" s="15"/>
      <c r="B399" s="15"/>
      <c r="C399" s="16"/>
      <c r="D399" s="15"/>
      <c r="E399" s="26"/>
      <c r="F399" s="16"/>
      <c r="G399" s="26"/>
      <c r="H399" s="16"/>
      <c r="I399" s="26"/>
      <c r="J399" s="16"/>
      <c r="K399" s="26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spans="1:31" ht="17.25" customHeight="1" x14ac:dyDescent="0.25">
      <c r="A400" s="15"/>
      <c r="B400" s="15"/>
      <c r="C400" s="16"/>
      <c r="D400" s="15"/>
      <c r="E400" s="26"/>
      <c r="F400" s="16"/>
      <c r="G400" s="26"/>
      <c r="H400" s="16"/>
      <c r="I400" s="26"/>
      <c r="J400" s="16"/>
      <c r="K400" s="26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ht="17.25" customHeight="1" x14ac:dyDescent="0.25">
      <c r="A401" s="15"/>
      <c r="B401" s="15"/>
      <c r="C401" s="16"/>
      <c r="D401" s="15"/>
      <c r="E401" s="26"/>
      <c r="F401" s="16"/>
      <c r="G401" s="26"/>
      <c r="H401" s="16"/>
      <c r="I401" s="26"/>
      <c r="J401" s="16"/>
      <c r="K401" s="26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ht="17.25" customHeight="1" x14ac:dyDescent="0.25">
      <c r="A402" s="15"/>
      <c r="B402" s="15"/>
      <c r="C402" s="16"/>
      <c r="D402" s="15"/>
      <c r="E402" s="26"/>
      <c r="F402" s="16"/>
      <c r="G402" s="26"/>
      <c r="H402" s="16"/>
      <c r="I402" s="26"/>
      <c r="J402" s="16"/>
      <c r="K402" s="26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ht="17.25" customHeight="1" x14ac:dyDescent="0.25">
      <c r="A403" s="15"/>
      <c r="B403" s="15"/>
      <c r="C403" s="16"/>
      <c r="D403" s="15"/>
      <c r="E403" s="26"/>
      <c r="F403" s="16"/>
      <c r="G403" s="26"/>
      <c r="H403" s="16"/>
      <c r="I403" s="26"/>
      <c r="J403" s="16"/>
      <c r="K403" s="26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ht="17.25" customHeight="1" x14ac:dyDescent="0.25">
      <c r="A404" s="15"/>
      <c r="B404" s="15"/>
      <c r="C404" s="16"/>
      <c r="D404" s="15"/>
      <c r="E404" s="26"/>
      <c r="F404" s="16"/>
      <c r="G404" s="26"/>
      <c r="H404" s="16"/>
      <c r="I404" s="26"/>
      <c r="J404" s="16"/>
      <c r="K404" s="26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ht="17.25" customHeight="1" x14ac:dyDescent="0.25">
      <c r="A405" s="15"/>
      <c r="B405" s="15"/>
      <c r="C405" s="16"/>
      <c r="D405" s="15"/>
      <c r="E405" s="26"/>
      <c r="F405" s="16"/>
      <c r="G405" s="26"/>
      <c r="H405" s="16"/>
      <c r="I405" s="26"/>
      <c r="J405" s="16"/>
      <c r="K405" s="26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ht="17.25" customHeight="1" x14ac:dyDescent="0.25">
      <c r="A406" s="15"/>
      <c r="B406" s="15"/>
      <c r="C406" s="16"/>
      <c r="D406" s="15"/>
      <c r="E406" s="26"/>
      <c r="F406" s="16"/>
      <c r="G406" s="26"/>
      <c r="H406" s="16"/>
      <c r="I406" s="26"/>
      <c r="J406" s="16"/>
      <c r="K406" s="26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ht="17.25" customHeight="1" x14ac:dyDescent="0.25">
      <c r="A407" s="15"/>
      <c r="B407" s="15"/>
      <c r="C407" s="16"/>
      <c r="D407" s="15"/>
      <c r="E407" s="26"/>
      <c r="F407" s="16"/>
      <c r="G407" s="26"/>
      <c r="H407" s="16"/>
      <c r="I407" s="26"/>
      <c r="J407" s="16"/>
      <c r="K407" s="26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ht="17.25" customHeight="1" x14ac:dyDescent="0.25">
      <c r="A408" s="15"/>
      <c r="B408" s="15"/>
      <c r="C408" s="16"/>
      <c r="D408" s="15"/>
      <c r="E408" s="26"/>
      <c r="F408" s="16"/>
      <c r="G408" s="26"/>
      <c r="H408" s="16"/>
      <c r="I408" s="26"/>
      <c r="J408" s="16"/>
      <c r="K408" s="26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ht="17.25" customHeight="1" x14ac:dyDescent="0.25">
      <c r="A409" s="15"/>
      <c r="B409" s="15"/>
      <c r="C409" s="16"/>
      <c r="D409" s="15"/>
      <c r="E409" s="26"/>
      <c r="F409" s="16"/>
      <c r="G409" s="26"/>
      <c r="H409" s="16"/>
      <c r="I409" s="26"/>
      <c r="J409" s="16"/>
      <c r="K409" s="26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ht="17.25" customHeight="1" x14ac:dyDescent="0.25">
      <c r="A410" s="15"/>
      <c r="B410" s="15"/>
      <c r="C410" s="16"/>
      <c r="D410" s="15"/>
      <c r="E410" s="26"/>
      <c r="F410" s="16"/>
      <c r="G410" s="26"/>
      <c r="H410" s="16"/>
      <c r="I410" s="26"/>
      <c r="J410" s="16"/>
      <c r="K410" s="26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ht="17.25" customHeight="1" x14ac:dyDescent="0.25">
      <c r="A411" s="15"/>
      <c r="B411" s="15"/>
      <c r="C411" s="16"/>
      <c r="D411" s="15"/>
      <c r="E411" s="26"/>
      <c r="F411" s="16"/>
      <c r="G411" s="26"/>
      <c r="H411" s="16"/>
      <c r="I411" s="26"/>
      <c r="J411" s="16"/>
      <c r="K411" s="26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ht="17.25" customHeight="1" x14ac:dyDescent="0.25">
      <c r="A412" s="15"/>
      <c r="B412" s="15"/>
      <c r="C412" s="16"/>
      <c r="D412" s="15"/>
      <c r="E412" s="26"/>
      <c r="F412" s="16"/>
      <c r="G412" s="26"/>
      <c r="H412" s="16"/>
      <c r="I412" s="26"/>
      <c r="J412" s="16"/>
      <c r="K412" s="26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ht="17.25" customHeight="1" x14ac:dyDescent="0.25">
      <c r="A413" s="15"/>
      <c r="B413" s="15"/>
      <c r="C413" s="16"/>
      <c r="D413" s="15"/>
      <c r="E413" s="26"/>
      <c r="F413" s="16"/>
      <c r="G413" s="26"/>
      <c r="H413" s="16"/>
      <c r="I413" s="26"/>
      <c r="J413" s="16"/>
      <c r="K413" s="26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ht="17.25" customHeight="1" x14ac:dyDescent="0.25">
      <c r="A414" s="15"/>
      <c r="B414" s="15"/>
      <c r="C414" s="16"/>
      <c r="D414" s="15"/>
      <c r="E414" s="26"/>
      <c r="F414" s="16"/>
      <c r="G414" s="26"/>
      <c r="H414" s="16"/>
      <c r="I414" s="26"/>
      <c r="J414" s="16"/>
      <c r="K414" s="26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ht="17.25" customHeight="1" x14ac:dyDescent="0.25">
      <c r="A415" s="15"/>
      <c r="B415" s="15"/>
      <c r="C415" s="16"/>
      <c r="D415" s="15"/>
      <c r="E415" s="26"/>
      <c r="F415" s="16"/>
      <c r="G415" s="26"/>
      <c r="H415" s="16"/>
      <c r="I415" s="26"/>
      <c r="J415" s="16"/>
      <c r="K415" s="26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ht="17.25" customHeight="1" x14ac:dyDescent="0.25">
      <c r="A416" s="15"/>
      <c r="B416" s="15"/>
      <c r="C416" s="16"/>
      <c r="D416" s="15"/>
      <c r="E416" s="26"/>
      <c r="F416" s="16"/>
      <c r="G416" s="26"/>
      <c r="H416" s="16"/>
      <c r="I416" s="26"/>
      <c r="J416" s="16"/>
      <c r="K416" s="26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ht="17.25" customHeight="1" x14ac:dyDescent="0.25">
      <c r="A417" s="15"/>
      <c r="B417" s="15"/>
      <c r="C417" s="16"/>
      <c r="D417" s="15"/>
      <c r="E417" s="26"/>
      <c r="F417" s="16"/>
      <c r="G417" s="26"/>
      <c r="H417" s="16"/>
      <c r="I417" s="26"/>
      <c r="J417" s="16"/>
      <c r="K417" s="26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spans="1:31" ht="17.25" customHeight="1" x14ac:dyDescent="0.25">
      <c r="A418" s="15"/>
      <c r="B418" s="15"/>
      <c r="C418" s="16"/>
      <c r="D418" s="15"/>
      <c r="E418" s="26"/>
      <c r="F418" s="16"/>
      <c r="G418" s="26"/>
      <c r="H418" s="16"/>
      <c r="I418" s="26"/>
      <c r="J418" s="16"/>
      <c r="K418" s="26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spans="1:31" ht="17.25" customHeight="1" x14ac:dyDescent="0.25">
      <c r="A419" s="15"/>
      <c r="B419" s="15"/>
      <c r="C419" s="16"/>
      <c r="D419" s="15"/>
      <c r="E419" s="26"/>
      <c r="F419" s="16"/>
      <c r="G419" s="26"/>
      <c r="H419" s="16"/>
      <c r="I419" s="26"/>
      <c r="J419" s="16"/>
      <c r="K419" s="26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spans="1:31" ht="17.25" customHeight="1" x14ac:dyDescent="0.25">
      <c r="A420" s="15"/>
      <c r="B420" s="15"/>
      <c r="C420" s="16"/>
      <c r="D420" s="15"/>
      <c r="E420" s="26"/>
      <c r="F420" s="16"/>
      <c r="G420" s="26"/>
      <c r="H420" s="16"/>
      <c r="I420" s="26"/>
      <c r="J420" s="16"/>
      <c r="K420" s="26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spans="1:31" ht="17.25" customHeight="1" x14ac:dyDescent="0.25">
      <c r="A421" s="15"/>
      <c r="B421" s="15"/>
      <c r="C421" s="16"/>
      <c r="D421" s="15"/>
      <c r="E421" s="26"/>
      <c r="F421" s="16"/>
      <c r="G421" s="26"/>
      <c r="H421" s="16"/>
      <c r="I421" s="26"/>
      <c r="J421" s="16"/>
      <c r="K421" s="26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spans="1:31" ht="17.25" customHeight="1" x14ac:dyDescent="0.25">
      <c r="A422" s="15"/>
      <c r="B422" s="15"/>
      <c r="C422" s="16"/>
      <c r="D422" s="15"/>
      <c r="E422" s="26"/>
      <c r="F422" s="16"/>
      <c r="G422" s="26"/>
      <c r="H422" s="16"/>
      <c r="I422" s="26"/>
      <c r="J422" s="16"/>
      <c r="K422" s="26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spans="1:31" ht="17.25" customHeight="1" x14ac:dyDescent="0.25">
      <c r="A423" s="15"/>
      <c r="B423" s="15"/>
      <c r="C423" s="16"/>
      <c r="D423" s="15"/>
      <c r="E423" s="26"/>
      <c r="F423" s="16"/>
      <c r="G423" s="26"/>
      <c r="H423" s="16"/>
      <c r="I423" s="26"/>
      <c r="J423" s="16"/>
      <c r="K423" s="26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spans="1:31" ht="17.25" customHeight="1" x14ac:dyDescent="0.25">
      <c r="A424" s="15"/>
      <c r="B424" s="15"/>
      <c r="C424" s="16"/>
      <c r="D424" s="15"/>
      <c r="E424" s="26"/>
      <c r="F424" s="16"/>
      <c r="G424" s="26"/>
      <c r="H424" s="16"/>
      <c r="I424" s="26"/>
      <c r="J424" s="16"/>
      <c r="K424" s="26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spans="1:31" ht="17.25" customHeight="1" x14ac:dyDescent="0.25">
      <c r="A425" s="15"/>
      <c r="B425" s="15"/>
      <c r="C425" s="16"/>
      <c r="D425" s="15"/>
      <c r="E425" s="26"/>
      <c r="F425" s="16"/>
      <c r="G425" s="26"/>
      <c r="H425" s="16"/>
      <c r="I425" s="26"/>
      <c r="J425" s="16"/>
      <c r="K425" s="26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spans="1:31" ht="17.25" customHeight="1" x14ac:dyDescent="0.25">
      <c r="A426" s="15"/>
      <c r="B426" s="15"/>
      <c r="C426" s="16"/>
      <c r="D426" s="15"/>
      <c r="E426" s="26"/>
      <c r="F426" s="16"/>
      <c r="G426" s="26"/>
      <c r="H426" s="16"/>
      <c r="I426" s="26"/>
      <c r="J426" s="16"/>
      <c r="K426" s="26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spans="1:31" ht="17.25" customHeight="1" x14ac:dyDescent="0.25">
      <c r="A427" s="15"/>
      <c r="B427" s="15"/>
      <c r="C427" s="16"/>
      <c r="D427" s="15"/>
      <c r="E427" s="26"/>
      <c r="F427" s="16"/>
      <c r="G427" s="26"/>
      <c r="H427" s="16"/>
      <c r="I427" s="26"/>
      <c r="J427" s="16"/>
      <c r="K427" s="26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spans="1:31" ht="17.25" customHeight="1" x14ac:dyDescent="0.25">
      <c r="A428" s="15"/>
      <c r="B428" s="15"/>
      <c r="C428" s="16"/>
      <c r="D428" s="15"/>
      <c r="E428" s="26"/>
      <c r="F428" s="16"/>
      <c r="G428" s="26"/>
      <c r="H428" s="16"/>
      <c r="I428" s="26"/>
      <c r="J428" s="16"/>
      <c r="K428" s="26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spans="1:31" ht="17.25" customHeight="1" x14ac:dyDescent="0.25">
      <c r="A429" s="15"/>
      <c r="B429" s="15"/>
      <c r="C429" s="16"/>
      <c r="D429" s="15"/>
      <c r="E429" s="26"/>
      <c r="F429" s="16"/>
      <c r="G429" s="26"/>
      <c r="H429" s="16"/>
      <c r="I429" s="26"/>
      <c r="J429" s="16"/>
      <c r="K429" s="26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spans="1:31" ht="17.25" customHeight="1" x14ac:dyDescent="0.25">
      <c r="A430" s="15"/>
      <c r="B430" s="15"/>
      <c r="C430" s="16"/>
      <c r="D430" s="15"/>
      <c r="E430" s="26"/>
      <c r="F430" s="16"/>
      <c r="G430" s="26"/>
      <c r="H430" s="16"/>
      <c r="I430" s="26"/>
      <c r="J430" s="16"/>
      <c r="K430" s="26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spans="1:31" ht="17.25" customHeight="1" x14ac:dyDescent="0.25">
      <c r="A431" s="15"/>
      <c r="B431" s="15"/>
      <c r="C431" s="16"/>
      <c r="D431" s="15"/>
      <c r="E431" s="26"/>
      <c r="F431" s="16"/>
      <c r="G431" s="26"/>
      <c r="H431" s="16"/>
      <c r="I431" s="26"/>
      <c r="J431" s="16"/>
      <c r="K431" s="26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spans="1:31" ht="17.25" customHeight="1" x14ac:dyDescent="0.25">
      <c r="A432" s="15"/>
      <c r="B432" s="15"/>
      <c r="C432" s="16"/>
      <c r="D432" s="15"/>
      <c r="E432" s="26"/>
      <c r="F432" s="16"/>
      <c r="G432" s="26"/>
      <c r="H432" s="16"/>
      <c r="I432" s="26"/>
      <c r="J432" s="16"/>
      <c r="K432" s="26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spans="1:31" ht="17.25" customHeight="1" x14ac:dyDescent="0.25">
      <c r="A433" s="15"/>
      <c r="B433" s="15"/>
      <c r="C433" s="16"/>
      <c r="D433" s="15"/>
      <c r="E433" s="26"/>
      <c r="F433" s="16"/>
      <c r="G433" s="26"/>
      <c r="H433" s="16"/>
      <c r="I433" s="26"/>
      <c r="J433" s="16"/>
      <c r="K433" s="26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spans="1:31" ht="17.25" customHeight="1" x14ac:dyDescent="0.25">
      <c r="A434" s="15"/>
      <c r="B434" s="15"/>
      <c r="C434" s="16"/>
      <c r="D434" s="15"/>
      <c r="E434" s="26"/>
      <c r="F434" s="16"/>
      <c r="G434" s="26"/>
      <c r="H434" s="16"/>
      <c r="I434" s="26"/>
      <c r="J434" s="16"/>
      <c r="K434" s="26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spans="1:31" ht="17.25" customHeight="1" x14ac:dyDescent="0.25">
      <c r="A435" s="15"/>
      <c r="B435" s="15"/>
      <c r="C435" s="16"/>
      <c r="D435" s="15"/>
      <c r="E435" s="26"/>
      <c r="F435" s="16"/>
      <c r="G435" s="26"/>
      <c r="H435" s="16"/>
      <c r="I435" s="26"/>
      <c r="J435" s="16"/>
      <c r="K435" s="26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spans="1:31" ht="17.25" customHeight="1" x14ac:dyDescent="0.25">
      <c r="A436" s="15"/>
      <c r="B436" s="15"/>
      <c r="C436" s="16"/>
      <c r="D436" s="15"/>
      <c r="E436" s="26"/>
      <c r="F436" s="16"/>
      <c r="G436" s="26"/>
      <c r="H436" s="16"/>
      <c r="I436" s="26"/>
      <c r="J436" s="16"/>
      <c r="K436" s="26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spans="1:31" ht="17.25" customHeight="1" x14ac:dyDescent="0.25">
      <c r="A437" s="15"/>
      <c r="B437" s="15"/>
      <c r="C437" s="16"/>
      <c r="D437" s="15"/>
      <c r="E437" s="26"/>
      <c r="F437" s="16"/>
      <c r="G437" s="26"/>
      <c r="H437" s="16"/>
      <c r="I437" s="26"/>
      <c r="J437" s="16"/>
      <c r="K437" s="26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spans="1:31" ht="17.25" customHeight="1" x14ac:dyDescent="0.25">
      <c r="A438" s="15"/>
      <c r="B438" s="15"/>
      <c r="C438" s="16"/>
      <c r="D438" s="15"/>
      <c r="E438" s="26"/>
      <c r="F438" s="16"/>
      <c r="G438" s="26"/>
      <c r="H438" s="16"/>
      <c r="I438" s="26"/>
      <c r="J438" s="16"/>
      <c r="K438" s="26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spans="1:31" ht="17.25" customHeight="1" x14ac:dyDescent="0.25">
      <c r="A439" s="15"/>
      <c r="B439" s="15"/>
      <c r="C439" s="16"/>
      <c r="D439" s="15"/>
      <c r="E439" s="26"/>
      <c r="F439" s="16"/>
      <c r="G439" s="26"/>
      <c r="H439" s="16"/>
      <c r="I439" s="26"/>
      <c r="J439" s="16"/>
      <c r="K439" s="26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spans="1:31" ht="17.25" customHeight="1" x14ac:dyDescent="0.25">
      <c r="A440" s="15"/>
      <c r="B440" s="15"/>
      <c r="C440" s="16"/>
      <c r="D440" s="15"/>
      <c r="E440" s="26"/>
      <c r="F440" s="16"/>
      <c r="G440" s="26"/>
      <c r="H440" s="16"/>
      <c r="I440" s="26"/>
      <c r="J440" s="16"/>
      <c r="K440" s="26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spans="1:31" ht="17.25" customHeight="1" x14ac:dyDescent="0.25">
      <c r="A441" s="15"/>
      <c r="B441" s="15"/>
      <c r="C441" s="16"/>
      <c r="D441" s="15"/>
      <c r="E441" s="26"/>
      <c r="F441" s="16"/>
      <c r="G441" s="26"/>
      <c r="H441" s="16"/>
      <c r="I441" s="26"/>
      <c r="J441" s="16"/>
      <c r="K441" s="26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spans="1:31" ht="17.25" customHeight="1" x14ac:dyDescent="0.25">
      <c r="A442" s="15"/>
      <c r="B442" s="15"/>
      <c r="C442" s="16"/>
      <c r="D442" s="15"/>
      <c r="E442" s="26"/>
      <c r="F442" s="16"/>
      <c r="G442" s="26"/>
      <c r="H442" s="16"/>
      <c r="I442" s="26"/>
      <c r="J442" s="16"/>
      <c r="K442" s="26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spans="1:31" ht="17.25" customHeight="1" x14ac:dyDescent="0.25">
      <c r="A443" s="15"/>
      <c r="B443" s="15"/>
      <c r="C443" s="16"/>
      <c r="D443" s="15"/>
      <c r="E443" s="26"/>
      <c r="F443" s="16"/>
      <c r="G443" s="26"/>
      <c r="H443" s="16"/>
      <c r="I443" s="26"/>
      <c r="J443" s="16"/>
      <c r="K443" s="26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spans="1:31" ht="17.25" customHeight="1" x14ac:dyDescent="0.25">
      <c r="A444" s="15"/>
      <c r="B444" s="15"/>
      <c r="C444" s="16"/>
      <c r="D444" s="15"/>
      <c r="E444" s="26"/>
      <c r="F444" s="16"/>
      <c r="G444" s="26"/>
      <c r="H444" s="16"/>
      <c r="I444" s="26"/>
      <c r="J444" s="16"/>
      <c r="K444" s="26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spans="1:31" ht="17.25" customHeight="1" x14ac:dyDescent="0.25">
      <c r="A445" s="15"/>
      <c r="B445" s="15"/>
      <c r="C445" s="16"/>
      <c r="D445" s="15"/>
      <c r="E445" s="26"/>
      <c r="F445" s="16"/>
      <c r="G445" s="26"/>
      <c r="H445" s="16"/>
      <c r="I445" s="26"/>
      <c r="J445" s="16"/>
      <c r="K445" s="26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spans="1:31" ht="17.25" customHeight="1" x14ac:dyDescent="0.25">
      <c r="A446" s="15"/>
      <c r="B446" s="15"/>
      <c r="C446" s="16"/>
      <c r="D446" s="15"/>
      <c r="E446" s="26"/>
      <c r="F446" s="16"/>
      <c r="G446" s="26"/>
      <c r="H446" s="16"/>
      <c r="I446" s="26"/>
      <c r="J446" s="16"/>
      <c r="K446" s="26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spans="1:31" ht="17.25" customHeight="1" x14ac:dyDescent="0.25">
      <c r="A447" s="15"/>
      <c r="B447" s="15"/>
      <c r="C447" s="16"/>
      <c r="D447" s="15"/>
      <c r="E447" s="26"/>
      <c r="F447" s="16"/>
      <c r="G447" s="26"/>
      <c r="H447" s="16"/>
      <c r="I447" s="26"/>
      <c r="J447" s="16"/>
      <c r="K447" s="26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spans="1:31" ht="17.25" customHeight="1" x14ac:dyDescent="0.25">
      <c r="A448" s="15"/>
      <c r="B448" s="15"/>
      <c r="C448" s="16"/>
      <c r="D448" s="15"/>
      <c r="E448" s="26"/>
      <c r="F448" s="16"/>
      <c r="G448" s="26"/>
      <c r="H448" s="16"/>
      <c r="I448" s="26"/>
      <c r="J448" s="16"/>
      <c r="K448" s="26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spans="1:31" ht="17.25" customHeight="1" x14ac:dyDescent="0.25">
      <c r="A449" s="15"/>
      <c r="B449" s="15"/>
      <c r="C449" s="16"/>
      <c r="D449" s="15"/>
      <c r="E449" s="26"/>
      <c r="F449" s="16"/>
      <c r="G449" s="26"/>
      <c r="H449" s="16"/>
      <c r="I449" s="26"/>
      <c r="J449" s="16"/>
      <c r="K449" s="26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spans="1:31" ht="17.25" customHeight="1" x14ac:dyDescent="0.25">
      <c r="A450" s="15"/>
      <c r="B450" s="15"/>
      <c r="C450" s="16"/>
      <c r="D450" s="15"/>
      <c r="E450" s="26"/>
      <c r="F450" s="16"/>
      <c r="G450" s="26"/>
      <c r="H450" s="16"/>
      <c r="I450" s="26"/>
      <c r="J450" s="16"/>
      <c r="K450" s="26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spans="1:31" ht="17.25" customHeight="1" x14ac:dyDescent="0.25">
      <c r="A451" s="15"/>
      <c r="B451" s="15"/>
      <c r="C451" s="16"/>
      <c r="D451" s="15"/>
      <c r="E451" s="26"/>
      <c r="F451" s="16"/>
      <c r="G451" s="26"/>
      <c r="H451" s="16"/>
      <c r="I451" s="26"/>
      <c r="J451" s="16"/>
      <c r="K451" s="26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spans="1:31" ht="17.25" customHeight="1" x14ac:dyDescent="0.25">
      <c r="A452" s="15"/>
      <c r="B452" s="15"/>
      <c r="C452" s="16"/>
      <c r="D452" s="15"/>
      <c r="E452" s="26"/>
      <c r="F452" s="16"/>
      <c r="G452" s="26"/>
      <c r="H452" s="16"/>
      <c r="I452" s="26"/>
      <c r="J452" s="16"/>
      <c r="K452" s="26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spans="1:31" ht="17.25" customHeight="1" x14ac:dyDescent="0.25">
      <c r="A453" s="15"/>
      <c r="B453" s="15"/>
      <c r="C453" s="16"/>
      <c r="D453" s="15"/>
      <c r="E453" s="26"/>
      <c r="F453" s="16"/>
      <c r="G453" s="26"/>
      <c r="H453" s="16"/>
      <c r="I453" s="26"/>
      <c r="J453" s="16"/>
      <c r="K453" s="26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spans="1:31" ht="17.25" customHeight="1" x14ac:dyDescent="0.25">
      <c r="A454" s="15"/>
      <c r="B454" s="15"/>
      <c r="C454" s="16"/>
      <c r="D454" s="15"/>
      <c r="E454" s="26"/>
      <c r="F454" s="16"/>
      <c r="G454" s="26"/>
      <c r="H454" s="16"/>
      <c r="I454" s="26"/>
      <c r="J454" s="16"/>
      <c r="K454" s="26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spans="1:31" ht="17.25" customHeight="1" x14ac:dyDescent="0.25">
      <c r="A455" s="15"/>
      <c r="B455" s="15"/>
      <c r="C455" s="16"/>
      <c r="D455" s="15"/>
      <c r="E455" s="26"/>
      <c r="F455" s="16"/>
      <c r="G455" s="26"/>
      <c r="H455" s="16"/>
      <c r="I455" s="26"/>
      <c r="J455" s="16"/>
      <c r="K455" s="26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spans="1:31" ht="17.25" customHeight="1" x14ac:dyDescent="0.25">
      <c r="A456" s="15"/>
      <c r="B456" s="15"/>
      <c r="C456" s="16"/>
      <c r="D456" s="15"/>
      <c r="E456" s="26"/>
      <c r="F456" s="16"/>
      <c r="G456" s="26"/>
      <c r="H456" s="16"/>
      <c r="I456" s="26"/>
      <c r="J456" s="16"/>
      <c r="K456" s="26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spans="1:31" ht="17.25" customHeight="1" x14ac:dyDescent="0.25">
      <c r="A457" s="15"/>
      <c r="B457" s="15"/>
      <c r="C457" s="16"/>
      <c r="D457" s="15"/>
      <c r="E457" s="26"/>
      <c r="F457" s="16"/>
      <c r="G457" s="26"/>
      <c r="H457" s="16"/>
      <c r="I457" s="26"/>
      <c r="J457" s="16"/>
      <c r="K457" s="26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spans="1:31" ht="17.25" customHeight="1" x14ac:dyDescent="0.25">
      <c r="A458" s="15"/>
      <c r="B458" s="15"/>
      <c r="C458" s="16"/>
      <c r="D458" s="15"/>
      <c r="E458" s="26"/>
      <c r="F458" s="16"/>
      <c r="G458" s="26"/>
      <c r="H458" s="16"/>
      <c r="I458" s="26"/>
      <c r="J458" s="16"/>
      <c r="K458" s="26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spans="1:31" ht="17.25" customHeight="1" x14ac:dyDescent="0.25">
      <c r="A459" s="15"/>
      <c r="B459" s="15"/>
      <c r="C459" s="16"/>
      <c r="D459" s="15"/>
      <c r="E459" s="26"/>
      <c r="F459" s="16"/>
      <c r="G459" s="26"/>
      <c r="H459" s="16"/>
      <c r="I459" s="26"/>
      <c r="J459" s="16"/>
      <c r="K459" s="26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spans="1:31" ht="17.25" customHeight="1" x14ac:dyDescent="0.25">
      <c r="A460" s="15"/>
      <c r="B460" s="15"/>
      <c r="C460" s="16"/>
      <c r="D460" s="15"/>
      <c r="E460" s="26"/>
      <c r="F460" s="16"/>
      <c r="G460" s="26"/>
      <c r="H460" s="16"/>
      <c r="I460" s="26"/>
      <c r="J460" s="16"/>
      <c r="K460" s="26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spans="1:31" ht="17.25" customHeight="1" x14ac:dyDescent="0.25">
      <c r="A461" s="15"/>
      <c r="B461" s="15"/>
      <c r="C461" s="16"/>
      <c r="D461" s="15"/>
      <c r="E461" s="26"/>
      <c r="F461" s="16"/>
      <c r="G461" s="26"/>
      <c r="H461" s="16"/>
      <c r="I461" s="26"/>
      <c r="J461" s="16"/>
      <c r="K461" s="26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spans="1:31" ht="17.25" customHeight="1" x14ac:dyDescent="0.25">
      <c r="A462" s="15"/>
      <c r="B462" s="15"/>
      <c r="C462" s="16"/>
      <c r="D462" s="15"/>
      <c r="E462" s="26"/>
      <c r="F462" s="16"/>
      <c r="G462" s="26"/>
      <c r="H462" s="16"/>
      <c r="I462" s="26"/>
      <c r="J462" s="16"/>
      <c r="K462" s="26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spans="1:31" ht="17.25" customHeight="1" x14ac:dyDescent="0.25">
      <c r="A463" s="15"/>
      <c r="B463" s="15"/>
      <c r="C463" s="16"/>
      <c r="D463" s="15"/>
      <c r="E463" s="26"/>
      <c r="F463" s="16"/>
      <c r="G463" s="26"/>
      <c r="H463" s="16"/>
      <c r="I463" s="26"/>
      <c r="J463" s="16"/>
      <c r="K463" s="26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spans="1:31" ht="17.25" customHeight="1" x14ac:dyDescent="0.25">
      <c r="A464" s="15"/>
      <c r="B464" s="15"/>
      <c r="C464" s="16"/>
      <c r="D464" s="15"/>
      <c r="E464" s="26"/>
      <c r="F464" s="16"/>
      <c r="G464" s="26"/>
      <c r="H464" s="16"/>
      <c r="I464" s="26"/>
      <c r="J464" s="16"/>
      <c r="K464" s="26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spans="1:31" ht="17.25" customHeight="1" x14ac:dyDescent="0.25">
      <c r="A465" s="15"/>
      <c r="B465" s="15"/>
      <c r="C465" s="16"/>
      <c r="D465" s="15"/>
      <c r="E465" s="26"/>
      <c r="F465" s="16"/>
      <c r="G465" s="26"/>
      <c r="H465" s="16"/>
      <c r="I465" s="26"/>
      <c r="J465" s="16"/>
      <c r="K465" s="26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spans="1:31" ht="17.25" customHeight="1" x14ac:dyDescent="0.25">
      <c r="A466" s="15"/>
      <c r="B466" s="15"/>
      <c r="C466" s="16"/>
      <c r="D466" s="15"/>
      <c r="E466" s="26"/>
      <c r="F466" s="16"/>
      <c r="G466" s="26"/>
      <c r="H466" s="16"/>
      <c r="I466" s="26"/>
      <c r="J466" s="16"/>
      <c r="K466" s="26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spans="1:31" ht="17.25" customHeight="1" x14ac:dyDescent="0.25">
      <c r="A467" s="15"/>
      <c r="B467" s="15"/>
      <c r="C467" s="16"/>
      <c r="D467" s="15"/>
      <c r="E467" s="26"/>
      <c r="F467" s="16"/>
      <c r="G467" s="26"/>
      <c r="H467" s="16"/>
      <c r="I467" s="26"/>
      <c r="J467" s="16"/>
      <c r="K467" s="26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spans="1:31" ht="17.25" customHeight="1" x14ac:dyDescent="0.25">
      <c r="A468" s="15"/>
      <c r="B468" s="15"/>
      <c r="C468" s="16"/>
      <c r="D468" s="15"/>
      <c r="E468" s="26"/>
      <c r="F468" s="16"/>
      <c r="G468" s="26"/>
      <c r="H468" s="16"/>
      <c r="I468" s="26"/>
      <c r="J468" s="16"/>
      <c r="K468" s="26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spans="1:31" ht="17.25" customHeight="1" x14ac:dyDescent="0.25">
      <c r="A469" s="15"/>
      <c r="B469" s="15"/>
      <c r="C469" s="16"/>
      <c r="D469" s="15"/>
      <c r="E469" s="26"/>
      <c r="F469" s="16"/>
      <c r="G469" s="26"/>
      <c r="H469" s="16"/>
      <c r="I469" s="26"/>
      <c r="J469" s="16"/>
      <c r="K469" s="26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spans="1:31" ht="17.25" customHeight="1" x14ac:dyDescent="0.25">
      <c r="A470" s="15"/>
      <c r="B470" s="15"/>
      <c r="C470" s="16"/>
      <c r="D470" s="15"/>
      <c r="E470" s="26"/>
      <c r="F470" s="16"/>
      <c r="G470" s="26"/>
      <c r="H470" s="16"/>
      <c r="I470" s="26"/>
      <c r="J470" s="16"/>
      <c r="K470" s="26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spans="1:31" ht="17.25" customHeight="1" x14ac:dyDescent="0.25">
      <c r="A471" s="15"/>
      <c r="B471" s="15"/>
      <c r="C471" s="16"/>
      <c r="D471" s="15"/>
      <c r="E471" s="26"/>
      <c r="F471" s="16"/>
      <c r="G471" s="26"/>
      <c r="H471" s="16"/>
      <c r="I471" s="26"/>
      <c r="J471" s="16"/>
      <c r="K471" s="26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spans="1:31" ht="17.25" customHeight="1" x14ac:dyDescent="0.25">
      <c r="A472" s="15"/>
      <c r="B472" s="15"/>
      <c r="C472" s="16"/>
      <c r="D472" s="15"/>
      <c r="E472" s="26"/>
      <c r="F472" s="16"/>
      <c r="G472" s="26"/>
      <c r="H472" s="16"/>
      <c r="I472" s="26"/>
      <c r="J472" s="16"/>
      <c r="K472" s="26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spans="1:31" ht="17.25" customHeight="1" x14ac:dyDescent="0.25">
      <c r="A473" s="15"/>
      <c r="B473" s="15"/>
      <c r="C473" s="16"/>
      <c r="D473" s="15"/>
      <c r="E473" s="26"/>
      <c r="F473" s="16"/>
      <c r="G473" s="26"/>
      <c r="H473" s="16"/>
      <c r="I473" s="26"/>
      <c r="J473" s="16"/>
      <c r="K473" s="26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spans="1:31" ht="17.25" customHeight="1" x14ac:dyDescent="0.25">
      <c r="A474" s="15"/>
      <c r="B474" s="15"/>
      <c r="C474" s="16"/>
      <c r="D474" s="15"/>
      <c r="E474" s="26"/>
      <c r="F474" s="16"/>
      <c r="G474" s="26"/>
      <c r="H474" s="16"/>
      <c r="I474" s="26"/>
      <c r="J474" s="16"/>
      <c r="K474" s="26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spans="1:31" ht="17.25" customHeight="1" x14ac:dyDescent="0.25">
      <c r="A475" s="15"/>
      <c r="B475" s="15"/>
      <c r="C475" s="16"/>
      <c r="D475" s="15"/>
      <c r="E475" s="26"/>
      <c r="F475" s="16"/>
      <c r="G475" s="26"/>
      <c r="H475" s="16"/>
      <c r="I475" s="26"/>
      <c r="J475" s="16"/>
      <c r="K475" s="26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spans="1:31" ht="17.25" customHeight="1" x14ac:dyDescent="0.25">
      <c r="A476" s="15"/>
      <c r="B476" s="15"/>
      <c r="C476" s="16"/>
      <c r="D476" s="15"/>
      <c r="E476" s="26"/>
      <c r="F476" s="16"/>
      <c r="G476" s="26"/>
      <c r="H476" s="16"/>
      <c r="I476" s="26"/>
      <c r="J476" s="16"/>
      <c r="K476" s="26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spans="1:31" ht="17.25" customHeight="1" x14ac:dyDescent="0.25">
      <c r="A477" s="15"/>
      <c r="B477" s="15"/>
      <c r="C477" s="16"/>
      <c r="D477" s="15"/>
      <c r="E477" s="26"/>
      <c r="F477" s="16"/>
      <c r="G477" s="26"/>
      <c r="H477" s="16"/>
      <c r="I477" s="26"/>
      <c r="J477" s="16"/>
      <c r="K477" s="26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spans="1:31" ht="17.25" customHeight="1" x14ac:dyDescent="0.25">
      <c r="A478" s="15"/>
      <c r="B478" s="15"/>
      <c r="C478" s="16"/>
      <c r="D478" s="15"/>
      <c r="E478" s="26"/>
      <c r="F478" s="16"/>
      <c r="G478" s="26"/>
      <c r="H478" s="16"/>
      <c r="I478" s="26"/>
      <c r="J478" s="16"/>
      <c r="K478" s="26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spans="1:31" ht="17.25" customHeight="1" x14ac:dyDescent="0.25">
      <c r="A479" s="15"/>
      <c r="B479" s="15"/>
      <c r="C479" s="16"/>
      <c r="D479" s="15"/>
      <c r="E479" s="26"/>
      <c r="F479" s="16"/>
      <c r="G479" s="26"/>
      <c r="H479" s="16"/>
      <c r="I479" s="26"/>
      <c r="J479" s="16"/>
      <c r="K479" s="26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spans="1:31" ht="17.25" customHeight="1" x14ac:dyDescent="0.25">
      <c r="A480" s="15"/>
      <c r="B480" s="15"/>
      <c r="C480" s="16"/>
      <c r="D480" s="15"/>
      <c r="E480" s="26"/>
      <c r="F480" s="16"/>
      <c r="G480" s="26"/>
      <c r="H480" s="16"/>
      <c r="I480" s="26"/>
      <c r="J480" s="16"/>
      <c r="K480" s="26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spans="1:31" ht="17.25" customHeight="1" x14ac:dyDescent="0.25">
      <c r="A481" s="15"/>
      <c r="B481" s="15"/>
      <c r="C481" s="16"/>
      <c r="D481" s="15"/>
      <c r="E481" s="26"/>
      <c r="F481" s="16"/>
      <c r="G481" s="26"/>
      <c r="H481" s="16"/>
      <c r="I481" s="26"/>
      <c r="J481" s="16"/>
      <c r="K481" s="26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spans="1:31" ht="17.25" customHeight="1" x14ac:dyDescent="0.25">
      <c r="A482" s="15"/>
      <c r="B482" s="15"/>
      <c r="C482" s="16"/>
      <c r="D482" s="15"/>
      <c r="E482" s="26"/>
      <c r="F482" s="16"/>
      <c r="G482" s="26"/>
      <c r="H482" s="16"/>
      <c r="I482" s="26"/>
      <c r="J482" s="16"/>
      <c r="K482" s="26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spans="1:31" ht="17.25" customHeight="1" x14ac:dyDescent="0.25">
      <c r="A483" s="15"/>
      <c r="B483" s="15"/>
      <c r="C483" s="16"/>
      <c r="D483" s="15"/>
      <c r="E483" s="26"/>
      <c r="F483" s="16"/>
      <c r="G483" s="26"/>
      <c r="H483" s="16"/>
      <c r="I483" s="26"/>
      <c r="J483" s="16"/>
      <c r="K483" s="26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spans="1:31" ht="17.25" customHeight="1" x14ac:dyDescent="0.25">
      <c r="A484" s="15"/>
      <c r="B484" s="15"/>
      <c r="C484" s="16"/>
      <c r="D484" s="15"/>
      <c r="E484" s="26"/>
      <c r="F484" s="16"/>
      <c r="G484" s="26"/>
      <c r="H484" s="16"/>
      <c r="I484" s="26"/>
      <c r="J484" s="16"/>
      <c r="K484" s="26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spans="1:31" ht="17.25" customHeight="1" x14ac:dyDescent="0.25">
      <c r="A485" s="15"/>
      <c r="B485" s="15"/>
      <c r="C485" s="16"/>
      <c r="D485" s="15"/>
      <c r="E485" s="26"/>
      <c r="F485" s="16"/>
      <c r="G485" s="26"/>
      <c r="H485" s="16"/>
      <c r="I485" s="26"/>
      <c r="J485" s="16"/>
      <c r="K485" s="26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spans="1:31" ht="17.25" customHeight="1" x14ac:dyDescent="0.25">
      <c r="A486" s="15"/>
      <c r="B486" s="15"/>
      <c r="C486" s="16"/>
      <c r="D486" s="15"/>
      <c r="E486" s="26"/>
      <c r="F486" s="16"/>
      <c r="G486" s="26"/>
      <c r="H486" s="16"/>
      <c r="I486" s="26"/>
      <c r="J486" s="16"/>
      <c r="K486" s="26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spans="1:31" ht="17.25" customHeight="1" x14ac:dyDescent="0.25">
      <c r="A487" s="15"/>
      <c r="B487" s="15"/>
      <c r="C487" s="16"/>
      <c r="D487" s="15"/>
      <c r="E487" s="26"/>
      <c r="F487" s="16"/>
      <c r="G487" s="26"/>
      <c r="H487" s="16"/>
      <c r="I487" s="26"/>
      <c r="J487" s="16"/>
      <c r="K487" s="26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spans="1:31" ht="17.25" customHeight="1" x14ac:dyDescent="0.25">
      <c r="A488" s="15"/>
      <c r="B488" s="15"/>
      <c r="C488" s="16"/>
      <c r="D488" s="15"/>
      <c r="E488" s="26"/>
      <c r="F488" s="16"/>
      <c r="G488" s="26"/>
      <c r="H488" s="16"/>
      <c r="I488" s="26"/>
      <c r="J488" s="16"/>
      <c r="K488" s="26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spans="1:31" ht="17.25" customHeight="1" x14ac:dyDescent="0.25">
      <c r="A489" s="15"/>
      <c r="B489" s="15"/>
      <c r="C489" s="16"/>
      <c r="D489" s="15"/>
      <c r="E489" s="26"/>
      <c r="F489" s="16"/>
      <c r="G489" s="26"/>
      <c r="H489" s="16"/>
      <c r="I489" s="26"/>
      <c r="J489" s="16"/>
      <c r="K489" s="26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spans="1:31" ht="17.25" customHeight="1" x14ac:dyDescent="0.25">
      <c r="A490" s="15"/>
      <c r="B490" s="15"/>
      <c r="C490" s="16"/>
      <c r="D490" s="15"/>
      <c r="E490" s="26"/>
      <c r="F490" s="16"/>
      <c r="G490" s="26"/>
      <c r="H490" s="16"/>
      <c r="I490" s="26"/>
      <c r="J490" s="16"/>
      <c r="K490" s="26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spans="1:31" ht="17.25" customHeight="1" x14ac:dyDescent="0.25">
      <c r="A491" s="15"/>
      <c r="B491" s="15"/>
      <c r="C491" s="16"/>
      <c r="D491" s="15"/>
      <c r="E491" s="26"/>
      <c r="F491" s="16"/>
      <c r="G491" s="26"/>
      <c r="H491" s="16"/>
      <c r="I491" s="26"/>
      <c r="J491" s="16"/>
      <c r="K491" s="26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spans="1:31" ht="17.25" customHeight="1" x14ac:dyDescent="0.25">
      <c r="A492" s="15"/>
      <c r="B492" s="15"/>
      <c r="C492" s="16"/>
      <c r="D492" s="15"/>
      <c r="E492" s="26"/>
      <c r="F492" s="16"/>
      <c r="G492" s="26"/>
      <c r="H492" s="16"/>
      <c r="I492" s="26"/>
      <c r="J492" s="16"/>
      <c r="K492" s="26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spans="1:31" ht="17.25" customHeight="1" x14ac:dyDescent="0.25">
      <c r="A493" s="15"/>
      <c r="B493" s="15"/>
      <c r="C493" s="16"/>
      <c r="D493" s="15"/>
      <c r="E493" s="26"/>
      <c r="F493" s="16"/>
      <c r="G493" s="26"/>
      <c r="H493" s="16"/>
      <c r="I493" s="26"/>
      <c r="J493" s="16"/>
      <c r="K493" s="26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spans="1:31" ht="17.25" customHeight="1" x14ac:dyDescent="0.25">
      <c r="A494" s="15"/>
      <c r="B494" s="15"/>
      <c r="C494" s="16"/>
      <c r="D494" s="15"/>
      <c r="E494" s="26"/>
      <c r="F494" s="16"/>
      <c r="G494" s="26"/>
      <c r="H494" s="16"/>
      <c r="I494" s="26"/>
      <c r="J494" s="16"/>
      <c r="K494" s="26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spans="1:31" ht="17.25" customHeight="1" x14ac:dyDescent="0.25">
      <c r="A495" s="15"/>
      <c r="B495" s="15"/>
      <c r="C495" s="16"/>
      <c r="D495" s="15"/>
      <c r="E495" s="26"/>
      <c r="F495" s="16"/>
      <c r="G495" s="26"/>
      <c r="H495" s="16"/>
      <c r="I495" s="26"/>
      <c r="J495" s="16"/>
      <c r="K495" s="26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spans="1:31" ht="17.25" customHeight="1" x14ac:dyDescent="0.25">
      <c r="A496" s="15"/>
      <c r="B496" s="15"/>
      <c r="C496" s="16"/>
      <c r="D496" s="15"/>
      <c r="E496" s="26"/>
      <c r="F496" s="16"/>
      <c r="G496" s="26"/>
      <c r="H496" s="16"/>
      <c r="I496" s="26"/>
      <c r="J496" s="16"/>
      <c r="K496" s="26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spans="1:31" ht="17.25" customHeight="1" x14ac:dyDescent="0.25">
      <c r="A497" s="15"/>
      <c r="B497" s="15"/>
      <c r="C497" s="16"/>
      <c r="D497" s="15"/>
      <c r="E497" s="26"/>
      <c r="F497" s="16"/>
      <c r="G497" s="26"/>
      <c r="H497" s="16"/>
      <c r="I497" s="26"/>
      <c r="J497" s="16"/>
      <c r="K497" s="26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spans="1:31" ht="17.25" customHeight="1" x14ac:dyDescent="0.25">
      <c r="A498" s="15"/>
      <c r="B498" s="15"/>
      <c r="C498" s="16"/>
      <c r="D498" s="15"/>
      <c r="E498" s="26"/>
      <c r="F498" s="16"/>
      <c r="G498" s="26"/>
      <c r="H498" s="16"/>
      <c r="I498" s="26"/>
      <c r="J498" s="16"/>
      <c r="K498" s="26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spans="1:31" ht="17.25" customHeight="1" x14ac:dyDescent="0.25">
      <c r="A499" s="15"/>
      <c r="B499" s="15"/>
      <c r="C499" s="16"/>
      <c r="D499" s="15"/>
      <c r="E499" s="26"/>
      <c r="F499" s="16"/>
      <c r="G499" s="26"/>
      <c r="H499" s="16"/>
      <c r="I499" s="26"/>
      <c r="J499" s="16"/>
      <c r="K499" s="26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spans="1:31" ht="17.25" customHeight="1" x14ac:dyDescent="0.25">
      <c r="A500" s="15"/>
      <c r="B500" s="15"/>
      <c r="C500" s="16"/>
      <c r="D500" s="15"/>
      <c r="E500" s="26"/>
      <c r="F500" s="16"/>
      <c r="G500" s="26"/>
      <c r="H500" s="16"/>
      <c r="I500" s="26"/>
      <c r="J500" s="16"/>
      <c r="K500" s="26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spans="1:31" ht="17.25" customHeight="1" x14ac:dyDescent="0.25">
      <c r="A501" s="15"/>
      <c r="B501" s="15"/>
      <c r="C501" s="16"/>
      <c r="D501" s="15"/>
      <c r="E501" s="26"/>
      <c r="F501" s="16"/>
      <c r="G501" s="26"/>
      <c r="H501" s="16"/>
      <c r="I501" s="26"/>
      <c r="J501" s="16"/>
      <c r="K501" s="26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spans="1:31" ht="17.25" customHeight="1" x14ac:dyDescent="0.25">
      <c r="A502" s="15"/>
      <c r="B502" s="15"/>
      <c r="C502" s="16"/>
      <c r="D502" s="15"/>
      <c r="E502" s="26"/>
      <c r="F502" s="16"/>
      <c r="G502" s="26"/>
      <c r="H502" s="16"/>
      <c r="I502" s="26"/>
      <c r="J502" s="16"/>
      <c r="K502" s="26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spans="1:31" ht="17.25" customHeight="1" x14ac:dyDescent="0.25">
      <c r="A503" s="15"/>
      <c r="B503" s="15"/>
      <c r="C503" s="16"/>
      <c r="D503" s="15"/>
      <c r="E503" s="26"/>
      <c r="F503" s="16"/>
      <c r="G503" s="26"/>
      <c r="H503" s="16"/>
      <c r="I503" s="26"/>
      <c r="J503" s="16"/>
      <c r="K503" s="26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spans="1:31" ht="17.25" customHeight="1" x14ac:dyDescent="0.25">
      <c r="A504" s="15"/>
      <c r="B504" s="15"/>
      <c r="C504" s="16"/>
      <c r="D504" s="15"/>
      <c r="E504" s="26"/>
      <c r="F504" s="16"/>
      <c r="G504" s="26"/>
      <c r="H504" s="16"/>
      <c r="I504" s="26"/>
      <c r="J504" s="16"/>
      <c r="K504" s="26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spans="1:31" ht="17.25" customHeight="1" x14ac:dyDescent="0.25">
      <c r="A505" s="15"/>
      <c r="B505" s="15"/>
      <c r="C505" s="16"/>
      <c r="D505" s="15"/>
      <c r="E505" s="26"/>
      <c r="F505" s="16"/>
      <c r="G505" s="26"/>
      <c r="H505" s="16"/>
      <c r="I505" s="26"/>
      <c r="J505" s="16"/>
      <c r="K505" s="26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spans="1:31" ht="17.25" customHeight="1" x14ac:dyDescent="0.25">
      <c r="A506" s="15"/>
      <c r="B506" s="15"/>
      <c r="C506" s="16"/>
      <c r="D506" s="15"/>
      <c r="E506" s="26"/>
      <c r="F506" s="16"/>
      <c r="G506" s="26"/>
      <c r="H506" s="16"/>
      <c r="I506" s="26"/>
      <c r="J506" s="16"/>
      <c r="K506" s="26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spans="1:31" ht="17.25" customHeight="1" x14ac:dyDescent="0.25">
      <c r="A507" s="15"/>
      <c r="B507" s="15"/>
      <c r="C507" s="16"/>
      <c r="D507" s="15"/>
      <c r="E507" s="26"/>
      <c r="F507" s="16"/>
      <c r="G507" s="26"/>
      <c r="H507" s="16"/>
      <c r="I507" s="26"/>
      <c r="J507" s="16"/>
      <c r="K507" s="26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spans="1:31" ht="17.25" customHeight="1" x14ac:dyDescent="0.25">
      <c r="A508" s="15"/>
      <c r="B508" s="15"/>
      <c r="C508" s="16"/>
      <c r="D508" s="15"/>
      <c r="E508" s="26"/>
      <c r="F508" s="16"/>
      <c r="G508" s="26"/>
      <c r="H508" s="16"/>
      <c r="I508" s="26"/>
      <c r="J508" s="16"/>
      <c r="K508" s="26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spans="1:31" ht="17.25" customHeight="1" x14ac:dyDescent="0.25">
      <c r="A509" s="15"/>
      <c r="B509" s="15"/>
      <c r="C509" s="16"/>
      <c r="D509" s="15"/>
      <c r="E509" s="26"/>
      <c r="F509" s="16"/>
      <c r="G509" s="26"/>
      <c r="H509" s="16"/>
      <c r="I509" s="26"/>
      <c r="J509" s="16"/>
      <c r="K509" s="26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spans="1:31" ht="17.25" customHeight="1" x14ac:dyDescent="0.25">
      <c r="A510" s="15"/>
      <c r="B510" s="15"/>
      <c r="C510" s="16"/>
      <c r="D510" s="15"/>
      <c r="E510" s="26"/>
      <c r="F510" s="16"/>
      <c r="G510" s="26"/>
      <c r="H510" s="16"/>
      <c r="I510" s="26"/>
      <c r="J510" s="16"/>
      <c r="K510" s="26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spans="1:31" ht="17.25" customHeight="1" x14ac:dyDescent="0.25">
      <c r="A511" s="15"/>
      <c r="B511" s="15"/>
      <c r="C511" s="16"/>
      <c r="D511" s="15"/>
      <c r="E511" s="26"/>
      <c r="F511" s="16"/>
      <c r="G511" s="26"/>
      <c r="H511" s="16"/>
      <c r="I511" s="26"/>
      <c r="J511" s="16"/>
      <c r="K511" s="26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spans="1:31" ht="17.25" customHeight="1" x14ac:dyDescent="0.25">
      <c r="A512" s="15"/>
      <c r="B512" s="15"/>
      <c r="C512" s="16"/>
      <c r="D512" s="15"/>
      <c r="E512" s="26"/>
      <c r="F512" s="16"/>
      <c r="G512" s="26"/>
      <c r="H512" s="16"/>
      <c r="I512" s="26"/>
      <c r="J512" s="16"/>
      <c r="K512" s="26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spans="1:31" ht="17.25" customHeight="1" x14ac:dyDescent="0.25">
      <c r="A513" s="15"/>
      <c r="B513" s="15"/>
      <c r="C513" s="16"/>
      <c r="D513" s="15"/>
      <c r="E513" s="26"/>
      <c r="F513" s="16"/>
      <c r="G513" s="26"/>
      <c r="H513" s="16"/>
      <c r="I513" s="26"/>
      <c r="J513" s="16"/>
      <c r="K513" s="26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spans="1:31" ht="17.25" customHeight="1" x14ac:dyDescent="0.25">
      <c r="A514" s="15"/>
      <c r="B514" s="15"/>
      <c r="C514" s="16"/>
      <c r="D514" s="15"/>
      <c r="E514" s="26"/>
      <c r="F514" s="16"/>
      <c r="G514" s="26"/>
      <c r="H514" s="16"/>
      <c r="I514" s="26"/>
      <c r="J514" s="16"/>
      <c r="K514" s="26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spans="1:31" ht="17.25" customHeight="1" x14ac:dyDescent="0.25">
      <c r="A515" s="15"/>
      <c r="B515" s="15"/>
      <c r="C515" s="16"/>
      <c r="D515" s="15"/>
      <c r="E515" s="26"/>
      <c r="F515" s="16"/>
      <c r="G515" s="26"/>
      <c r="H515" s="16"/>
      <c r="I515" s="26"/>
      <c r="J515" s="16"/>
      <c r="K515" s="26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spans="1:31" ht="17.25" customHeight="1" x14ac:dyDescent="0.25">
      <c r="A516" s="15"/>
      <c r="B516" s="15"/>
      <c r="C516" s="16"/>
      <c r="D516" s="15"/>
      <c r="E516" s="26"/>
      <c r="F516" s="16"/>
      <c r="G516" s="26"/>
      <c r="H516" s="16"/>
      <c r="I516" s="26"/>
      <c r="J516" s="16"/>
      <c r="K516" s="26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spans="1:31" ht="17.25" customHeight="1" x14ac:dyDescent="0.25">
      <c r="A517" s="15"/>
      <c r="B517" s="15"/>
      <c r="C517" s="16"/>
      <c r="D517" s="15"/>
      <c r="E517" s="26"/>
      <c r="F517" s="16"/>
      <c r="G517" s="26"/>
      <c r="H517" s="16"/>
      <c r="I517" s="26"/>
      <c r="J517" s="16"/>
      <c r="K517" s="26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spans="1:31" ht="17.25" customHeight="1" x14ac:dyDescent="0.25">
      <c r="A518" s="15"/>
      <c r="B518" s="15"/>
      <c r="C518" s="16"/>
      <c r="D518" s="15"/>
      <c r="E518" s="26"/>
      <c r="F518" s="16"/>
      <c r="G518" s="26"/>
      <c r="H518" s="16"/>
      <c r="I518" s="26"/>
      <c r="J518" s="16"/>
      <c r="K518" s="26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spans="1:31" ht="17.25" customHeight="1" x14ac:dyDescent="0.25">
      <c r="A519" s="15"/>
      <c r="B519" s="15"/>
      <c r="C519" s="16"/>
      <c r="D519" s="15"/>
      <c r="E519" s="26"/>
      <c r="F519" s="16"/>
      <c r="G519" s="26"/>
      <c r="H519" s="16"/>
      <c r="I519" s="26"/>
      <c r="J519" s="16"/>
      <c r="K519" s="26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spans="1:31" ht="17.25" customHeight="1" x14ac:dyDescent="0.25">
      <c r="A520" s="15"/>
      <c r="B520" s="15"/>
      <c r="C520" s="16"/>
      <c r="D520" s="15"/>
      <c r="E520" s="26"/>
      <c r="F520" s="16"/>
      <c r="G520" s="26"/>
      <c r="H520" s="16"/>
      <c r="I520" s="26"/>
      <c r="J520" s="16"/>
      <c r="K520" s="26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spans="1:31" ht="17.25" customHeight="1" x14ac:dyDescent="0.25">
      <c r="A521" s="15"/>
      <c r="B521" s="15"/>
      <c r="C521" s="16"/>
      <c r="D521" s="15"/>
      <c r="E521" s="26"/>
      <c r="F521" s="16"/>
      <c r="G521" s="26"/>
      <c r="H521" s="16"/>
      <c r="I521" s="26"/>
      <c r="J521" s="16"/>
      <c r="K521" s="26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spans="1:31" ht="17.25" customHeight="1" x14ac:dyDescent="0.25">
      <c r="A522" s="15"/>
      <c r="B522" s="15"/>
      <c r="C522" s="16"/>
      <c r="D522" s="15"/>
      <c r="E522" s="26"/>
      <c r="F522" s="16"/>
      <c r="G522" s="26"/>
      <c r="H522" s="16"/>
      <c r="I522" s="26"/>
      <c r="J522" s="16"/>
      <c r="K522" s="26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spans="1:31" ht="17.25" customHeight="1" x14ac:dyDescent="0.25">
      <c r="A523" s="15"/>
      <c r="B523" s="15"/>
      <c r="C523" s="16"/>
      <c r="D523" s="15"/>
      <c r="E523" s="26"/>
      <c r="F523" s="16"/>
      <c r="G523" s="26"/>
      <c r="H523" s="16"/>
      <c r="I523" s="26"/>
      <c r="J523" s="16"/>
      <c r="K523" s="26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spans="1:31" ht="17.25" customHeight="1" x14ac:dyDescent="0.25">
      <c r="A524" s="15"/>
      <c r="B524" s="15"/>
      <c r="C524" s="16"/>
      <c r="D524" s="15"/>
      <c r="E524" s="26"/>
      <c r="F524" s="16"/>
      <c r="G524" s="26"/>
      <c r="H524" s="16"/>
      <c r="I524" s="26"/>
      <c r="J524" s="16"/>
      <c r="K524" s="26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spans="1:31" ht="17.25" customHeight="1" x14ac:dyDescent="0.25">
      <c r="A525" s="15"/>
      <c r="B525" s="15"/>
      <c r="C525" s="16"/>
      <c r="D525" s="15"/>
      <c r="E525" s="26"/>
      <c r="F525" s="16"/>
      <c r="G525" s="26"/>
      <c r="H525" s="16"/>
      <c r="I525" s="26"/>
      <c r="J525" s="16"/>
      <c r="K525" s="26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spans="1:31" ht="17.25" customHeight="1" x14ac:dyDescent="0.25">
      <c r="A526" s="15"/>
      <c r="B526" s="15"/>
      <c r="C526" s="16"/>
      <c r="D526" s="15"/>
      <c r="E526" s="26"/>
      <c r="F526" s="16"/>
      <c r="G526" s="26"/>
      <c r="H526" s="16"/>
      <c r="I526" s="26"/>
      <c r="J526" s="16"/>
      <c r="K526" s="26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spans="1:31" ht="17.25" customHeight="1" x14ac:dyDescent="0.25">
      <c r="A527" s="15"/>
      <c r="B527" s="15"/>
      <c r="C527" s="16"/>
      <c r="D527" s="15"/>
      <c r="E527" s="26"/>
      <c r="F527" s="16"/>
      <c r="G527" s="26"/>
      <c r="H527" s="16"/>
      <c r="I527" s="26"/>
      <c r="J527" s="16"/>
      <c r="K527" s="26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spans="1:31" ht="17.25" customHeight="1" x14ac:dyDescent="0.25">
      <c r="A528" s="15"/>
      <c r="B528" s="15"/>
      <c r="C528" s="16"/>
      <c r="D528" s="15"/>
      <c r="E528" s="26"/>
      <c r="F528" s="16"/>
      <c r="G528" s="26"/>
      <c r="H528" s="16"/>
      <c r="I528" s="26"/>
      <c r="J528" s="16"/>
      <c r="K528" s="26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spans="1:31" ht="17.25" customHeight="1" x14ac:dyDescent="0.25">
      <c r="A529" s="15"/>
      <c r="B529" s="15"/>
      <c r="C529" s="16"/>
      <c r="D529" s="15"/>
      <c r="E529" s="26"/>
      <c r="F529" s="16"/>
      <c r="G529" s="26"/>
      <c r="H529" s="16"/>
      <c r="I529" s="26"/>
      <c r="J529" s="16"/>
      <c r="K529" s="26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spans="1:31" ht="17.25" customHeight="1" x14ac:dyDescent="0.25">
      <c r="A530" s="15"/>
      <c r="B530" s="15"/>
      <c r="C530" s="16"/>
      <c r="D530" s="15"/>
      <c r="E530" s="26"/>
      <c r="F530" s="16"/>
      <c r="G530" s="26"/>
      <c r="H530" s="16"/>
      <c r="I530" s="26"/>
      <c r="J530" s="16"/>
      <c r="K530" s="26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spans="1:31" ht="17.25" customHeight="1" x14ac:dyDescent="0.25">
      <c r="A531" s="15"/>
      <c r="B531" s="15"/>
      <c r="C531" s="16"/>
      <c r="D531" s="15"/>
      <c r="E531" s="26"/>
      <c r="F531" s="16"/>
      <c r="G531" s="26"/>
      <c r="H531" s="16"/>
      <c r="I531" s="26"/>
      <c r="J531" s="16"/>
      <c r="K531" s="26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spans="1:31" ht="17.25" customHeight="1" x14ac:dyDescent="0.25">
      <c r="A532" s="15"/>
      <c r="B532" s="15"/>
      <c r="C532" s="16"/>
      <c r="D532" s="15"/>
      <c r="E532" s="26"/>
      <c r="F532" s="16"/>
      <c r="G532" s="26"/>
      <c r="H532" s="16"/>
      <c r="I532" s="26"/>
      <c r="J532" s="16"/>
      <c r="K532" s="26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spans="1:31" ht="17.25" customHeight="1" x14ac:dyDescent="0.25">
      <c r="A533" s="15"/>
      <c r="B533" s="15"/>
      <c r="C533" s="16"/>
      <c r="D533" s="15"/>
      <c r="E533" s="26"/>
      <c r="F533" s="16"/>
      <c r="G533" s="26"/>
      <c r="H533" s="16"/>
      <c r="I533" s="26"/>
      <c r="J533" s="16"/>
      <c r="K533" s="26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spans="1:31" ht="17.25" customHeight="1" x14ac:dyDescent="0.25">
      <c r="A534" s="15"/>
      <c r="B534" s="15"/>
      <c r="C534" s="16"/>
      <c r="D534" s="15"/>
      <c r="E534" s="26"/>
      <c r="F534" s="16"/>
      <c r="G534" s="26"/>
      <c r="H534" s="16"/>
      <c r="I534" s="26"/>
      <c r="J534" s="16"/>
      <c r="K534" s="26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spans="1:31" ht="17.25" customHeight="1" x14ac:dyDescent="0.25">
      <c r="A535" s="15"/>
      <c r="B535" s="15"/>
      <c r="C535" s="16"/>
      <c r="D535" s="15"/>
      <c r="E535" s="26"/>
      <c r="F535" s="16"/>
      <c r="G535" s="26"/>
      <c r="H535" s="16"/>
      <c r="I535" s="26"/>
      <c r="J535" s="16"/>
      <c r="K535" s="26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spans="1:31" ht="17.25" customHeight="1" x14ac:dyDescent="0.25">
      <c r="A536" s="15"/>
      <c r="B536" s="15"/>
      <c r="C536" s="16"/>
      <c r="D536" s="15"/>
      <c r="E536" s="26"/>
      <c r="F536" s="16"/>
      <c r="G536" s="26"/>
      <c r="H536" s="16"/>
      <c r="I536" s="26"/>
      <c r="J536" s="16"/>
      <c r="K536" s="26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spans="1:31" ht="17.25" customHeight="1" x14ac:dyDescent="0.25">
      <c r="A537" s="15"/>
      <c r="B537" s="15"/>
      <c r="C537" s="16"/>
      <c r="D537" s="15"/>
      <c r="E537" s="26"/>
      <c r="F537" s="16"/>
      <c r="G537" s="26"/>
      <c r="H537" s="16"/>
      <c r="I537" s="26"/>
      <c r="J537" s="16"/>
      <c r="K537" s="26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spans="1:31" ht="17.25" customHeight="1" x14ac:dyDescent="0.25">
      <c r="A538" s="15"/>
      <c r="B538" s="15"/>
      <c r="C538" s="16"/>
      <c r="D538" s="15"/>
      <c r="E538" s="26"/>
      <c r="F538" s="16"/>
      <c r="G538" s="26"/>
      <c r="H538" s="16"/>
      <c r="I538" s="26"/>
      <c r="J538" s="16"/>
      <c r="K538" s="26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spans="1:31" ht="17.25" customHeight="1" x14ac:dyDescent="0.25">
      <c r="A539" s="15"/>
      <c r="B539" s="15"/>
      <c r="C539" s="16"/>
      <c r="D539" s="15"/>
      <c r="E539" s="26"/>
      <c r="F539" s="16"/>
      <c r="G539" s="26"/>
      <c r="H539" s="16"/>
      <c r="I539" s="26"/>
      <c r="J539" s="16"/>
      <c r="K539" s="26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spans="1:31" ht="17.25" customHeight="1" x14ac:dyDescent="0.25">
      <c r="A540" s="15"/>
      <c r="B540" s="15"/>
      <c r="C540" s="16"/>
      <c r="D540" s="15"/>
      <c r="E540" s="26"/>
      <c r="F540" s="16"/>
      <c r="G540" s="26"/>
      <c r="H540" s="16"/>
      <c r="I540" s="26"/>
      <c r="J540" s="16"/>
      <c r="K540" s="26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spans="1:31" ht="17.25" customHeight="1" x14ac:dyDescent="0.25">
      <c r="A541" s="15"/>
      <c r="B541" s="15"/>
      <c r="C541" s="16"/>
      <c r="D541" s="15"/>
      <c r="E541" s="26"/>
      <c r="F541" s="16"/>
      <c r="G541" s="26"/>
      <c r="H541" s="16"/>
      <c r="I541" s="26"/>
      <c r="J541" s="16"/>
      <c r="K541" s="26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spans="1:31" ht="17.25" customHeight="1" x14ac:dyDescent="0.25">
      <c r="A542" s="15"/>
      <c r="B542" s="15"/>
      <c r="C542" s="16"/>
      <c r="D542" s="15"/>
      <c r="E542" s="26"/>
      <c r="F542" s="16"/>
      <c r="G542" s="26"/>
      <c r="H542" s="16"/>
      <c r="I542" s="26"/>
      <c r="J542" s="16"/>
      <c r="K542" s="26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spans="1:31" ht="17.25" customHeight="1" x14ac:dyDescent="0.25">
      <c r="A543" s="15"/>
      <c r="B543" s="15"/>
      <c r="C543" s="16"/>
      <c r="D543" s="15"/>
      <c r="E543" s="26"/>
      <c r="F543" s="16"/>
      <c r="G543" s="26"/>
      <c r="H543" s="16"/>
      <c r="I543" s="26"/>
      <c r="J543" s="16"/>
      <c r="K543" s="26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spans="1:31" ht="17.25" customHeight="1" x14ac:dyDescent="0.25">
      <c r="A544" s="15"/>
      <c r="B544" s="15"/>
      <c r="C544" s="16"/>
      <c r="D544" s="15"/>
      <c r="E544" s="26"/>
      <c r="F544" s="16"/>
      <c r="G544" s="26"/>
      <c r="H544" s="16"/>
      <c r="I544" s="26"/>
      <c r="J544" s="16"/>
      <c r="K544" s="26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spans="1:31" ht="17.25" customHeight="1" x14ac:dyDescent="0.25">
      <c r="A545" s="15"/>
      <c r="B545" s="15"/>
      <c r="C545" s="16"/>
      <c r="D545" s="15"/>
      <c r="E545" s="26"/>
      <c r="F545" s="16"/>
      <c r="G545" s="26"/>
      <c r="H545" s="16"/>
      <c r="I545" s="26"/>
      <c r="J545" s="16"/>
      <c r="K545" s="26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spans="1:31" ht="17.25" customHeight="1" x14ac:dyDescent="0.25">
      <c r="A546" s="15"/>
      <c r="B546" s="15"/>
      <c r="C546" s="16"/>
      <c r="D546" s="15"/>
      <c r="E546" s="26"/>
      <c r="F546" s="16"/>
      <c r="G546" s="26"/>
      <c r="H546" s="16"/>
      <c r="I546" s="26"/>
      <c r="J546" s="16"/>
      <c r="K546" s="26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spans="1:31" ht="17.25" customHeight="1" x14ac:dyDescent="0.25">
      <c r="A547" s="15"/>
      <c r="B547" s="15"/>
      <c r="C547" s="16"/>
      <c r="D547" s="15"/>
      <c r="E547" s="26"/>
      <c r="F547" s="16"/>
      <c r="G547" s="26"/>
      <c r="H547" s="16"/>
      <c r="I547" s="26"/>
      <c r="J547" s="16"/>
      <c r="K547" s="26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spans="1:31" ht="17.25" customHeight="1" x14ac:dyDescent="0.25">
      <c r="A548" s="15"/>
      <c r="B548" s="15"/>
      <c r="C548" s="16"/>
      <c r="D548" s="15"/>
      <c r="E548" s="26"/>
      <c r="F548" s="16"/>
      <c r="G548" s="26"/>
      <c r="H548" s="16"/>
      <c r="I548" s="26"/>
      <c r="J548" s="16"/>
      <c r="K548" s="26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spans="1:31" ht="17.25" customHeight="1" x14ac:dyDescent="0.25">
      <c r="A549" s="15"/>
      <c r="B549" s="15"/>
      <c r="C549" s="16"/>
      <c r="D549" s="15"/>
      <c r="E549" s="26"/>
      <c r="F549" s="16"/>
      <c r="G549" s="26"/>
      <c r="H549" s="16"/>
      <c r="I549" s="26"/>
      <c r="J549" s="16"/>
      <c r="K549" s="26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spans="1:31" ht="17.25" customHeight="1" x14ac:dyDescent="0.25">
      <c r="A550" s="15"/>
      <c r="B550" s="15"/>
      <c r="C550" s="16"/>
      <c r="D550" s="15"/>
      <c r="E550" s="26"/>
      <c r="F550" s="16"/>
      <c r="G550" s="26"/>
      <c r="H550" s="16"/>
      <c r="I550" s="26"/>
      <c r="J550" s="16"/>
      <c r="K550" s="26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spans="1:31" ht="17.25" customHeight="1" x14ac:dyDescent="0.25">
      <c r="A551" s="15"/>
      <c r="B551" s="15"/>
      <c r="C551" s="16"/>
      <c r="D551" s="15"/>
      <c r="E551" s="26"/>
      <c r="F551" s="16"/>
      <c r="G551" s="26"/>
      <c r="H551" s="16"/>
      <c r="I551" s="26"/>
      <c r="J551" s="16"/>
      <c r="K551" s="26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spans="1:31" ht="17.25" customHeight="1" x14ac:dyDescent="0.25">
      <c r="A552" s="15"/>
      <c r="B552" s="15"/>
      <c r="C552" s="16"/>
      <c r="D552" s="15"/>
      <c r="E552" s="26"/>
      <c r="F552" s="16"/>
      <c r="G552" s="26"/>
      <c r="H552" s="16"/>
      <c r="I552" s="26"/>
      <c r="J552" s="16"/>
      <c r="K552" s="26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spans="1:31" ht="17.25" customHeight="1" x14ac:dyDescent="0.25">
      <c r="A553" s="15"/>
      <c r="B553" s="15"/>
      <c r="C553" s="16"/>
      <c r="D553" s="15"/>
      <c r="E553" s="26"/>
      <c r="F553" s="16"/>
      <c r="G553" s="26"/>
      <c r="H553" s="16"/>
      <c r="I553" s="26"/>
      <c r="J553" s="16"/>
      <c r="K553" s="26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spans="1:31" ht="17.25" customHeight="1" x14ac:dyDescent="0.25">
      <c r="A554" s="15"/>
      <c r="B554" s="15"/>
      <c r="C554" s="16"/>
      <c r="D554" s="15"/>
      <c r="E554" s="26"/>
      <c r="F554" s="16"/>
      <c r="G554" s="26"/>
      <c r="H554" s="16"/>
      <c r="I554" s="26"/>
      <c r="J554" s="16"/>
      <c r="K554" s="26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spans="1:31" ht="17.25" customHeight="1" x14ac:dyDescent="0.25">
      <c r="A555" s="15"/>
      <c r="B555" s="15"/>
      <c r="C555" s="16"/>
      <c r="D555" s="15"/>
      <c r="E555" s="26"/>
      <c r="F555" s="16"/>
      <c r="G555" s="26"/>
      <c r="H555" s="16"/>
      <c r="I555" s="26"/>
      <c r="J555" s="16"/>
      <c r="K555" s="26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spans="1:31" ht="17.25" customHeight="1" x14ac:dyDescent="0.25">
      <c r="A556" s="15"/>
      <c r="B556" s="15"/>
      <c r="C556" s="16"/>
      <c r="D556" s="15"/>
      <c r="E556" s="26"/>
      <c r="F556" s="16"/>
      <c r="G556" s="26"/>
      <c r="H556" s="16"/>
      <c r="I556" s="26"/>
      <c r="J556" s="16"/>
      <c r="K556" s="26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spans="1:31" ht="17.25" customHeight="1" x14ac:dyDescent="0.25">
      <c r="A557" s="15"/>
      <c r="B557" s="15"/>
      <c r="C557" s="16"/>
      <c r="D557" s="15"/>
      <c r="E557" s="26"/>
      <c r="F557" s="16"/>
      <c r="G557" s="26"/>
      <c r="H557" s="16"/>
      <c r="I557" s="26"/>
      <c r="J557" s="16"/>
      <c r="K557" s="26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spans="1:31" ht="17.25" customHeight="1" x14ac:dyDescent="0.25">
      <c r="A558" s="15"/>
      <c r="B558" s="15"/>
      <c r="C558" s="16"/>
      <c r="D558" s="15"/>
      <c r="E558" s="26"/>
      <c r="F558" s="16"/>
      <c r="G558" s="26"/>
      <c r="H558" s="16"/>
      <c r="I558" s="26"/>
      <c r="J558" s="16"/>
      <c r="K558" s="26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spans="1:31" ht="17.25" customHeight="1" x14ac:dyDescent="0.25">
      <c r="A559" s="15"/>
      <c r="B559" s="15"/>
      <c r="C559" s="16"/>
      <c r="D559" s="15"/>
      <c r="E559" s="26"/>
      <c r="F559" s="16"/>
      <c r="G559" s="26"/>
      <c r="H559" s="16"/>
      <c r="I559" s="26"/>
      <c r="J559" s="16"/>
      <c r="K559" s="26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spans="1:31" ht="17.25" customHeight="1" x14ac:dyDescent="0.25">
      <c r="A560" s="15"/>
      <c r="B560" s="15"/>
      <c r="C560" s="16"/>
      <c r="D560" s="15"/>
      <c r="E560" s="26"/>
      <c r="F560" s="16"/>
      <c r="G560" s="26"/>
      <c r="H560" s="16"/>
      <c r="I560" s="26"/>
      <c r="J560" s="16"/>
      <c r="K560" s="26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spans="1:31" ht="17.25" customHeight="1" x14ac:dyDescent="0.25">
      <c r="A561" s="15"/>
      <c r="B561" s="15"/>
      <c r="C561" s="16"/>
      <c r="D561" s="15"/>
      <c r="E561" s="26"/>
      <c r="F561" s="16"/>
      <c r="G561" s="26"/>
      <c r="H561" s="16"/>
      <c r="I561" s="26"/>
      <c r="J561" s="16"/>
      <c r="K561" s="26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spans="1:31" ht="17.25" customHeight="1" x14ac:dyDescent="0.25">
      <c r="A562" s="15"/>
      <c r="B562" s="15"/>
      <c r="C562" s="16"/>
      <c r="D562" s="15"/>
      <c r="E562" s="26"/>
      <c r="F562" s="16"/>
      <c r="G562" s="26"/>
      <c r="H562" s="16"/>
      <c r="I562" s="26"/>
      <c r="J562" s="16"/>
      <c r="K562" s="26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spans="1:31" ht="17.25" customHeight="1" x14ac:dyDescent="0.25">
      <c r="A563" s="15"/>
      <c r="B563" s="15"/>
      <c r="C563" s="16"/>
      <c r="D563" s="15"/>
      <c r="E563" s="26"/>
      <c r="F563" s="16"/>
      <c r="G563" s="26"/>
      <c r="H563" s="16"/>
      <c r="I563" s="26"/>
      <c r="J563" s="16"/>
      <c r="K563" s="26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spans="1:31" ht="17.25" customHeight="1" x14ac:dyDescent="0.25">
      <c r="A564" s="15"/>
      <c r="B564" s="15"/>
      <c r="C564" s="16"/>
      <c r="D564" s="15"/>
      <c r="E564" s="26"/>
      <c r="F564" s="16"/>
      <c r="G564" s="26"/>
      <c r="H564" s="16"/>
      <c r="I564" s="26"/>
      <c r="J564" s="16"/>
      <c r="K564" s="26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spans="1:31" ht="17.25" customHeight="1" x14ac:dyDescent="0.25">
      <c r="A565" s="15"/>
      <c r="B565" s="15"/>
      <c r="C565" s="16"/>
      <c r="D565" s="15"/>
      <c r="E565" s="26"/>
      <c r="F565" s="16"/>
      <c r="G565" s="26"/>
      <c r="H565" s="16"/>
      <c r="I565" s="26"/>
      <c r="J565" s="16"/>
      <c r="K565" s="26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spans="1:31" ht="17.25" customHeight="1" x14ac:dyDescent="0.25">
      <c r="A566" s="15"/>
      <c r="B566" s="15"/>
      <c r="C566" s="16"/>
      <c r="D566" s="15"/>
      <c r="E566" s="26"/>
      <c r="F566" s="16"/>
      <c r="G566" s="26"/>
      <c r="H566" s="16"/>
      <c r="I566" s="26"/>
      <c r="J566" s="16"/>
      <c r="K566" s="26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spans="1:31" ht="17.25" customHeight="1" x14ac:dyDescent="0.25">
      <c r="A567" s="15"/>
      <c r="B567" s="15"/>
      <c r="C567" s="16"/>
      <c r="D567" s="15"/>
      <c r="E567" s="26"/>
      <c r="F567" s="16"/>
      <c r="G567" s="26"/>
      <c r="H567" s="16"/>
      <c r="I567" s="26"/>
      <c r="J567" s="16"/>
      <c r="K567" s="26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spans="1:31" ht="17.25" customHeight="1" x14ac:dyDescent="0.25">
      <c r="A568" s="15"/>
      <c r="B568" s="15"/>
      <c r="C568" s="16"/>
      <c r="D568" s="15"/>
      <c r="E568" s="26"/>
      <c r="F568" s="16"/>
      <c r="G568" s="26"/>
      <c r="H568" s="16"/>
      <c r="I568" s="26"/>
      <c r="J568" s="16"/>
      <c r="K568" s="26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spans="1:31" ht="17.25" customHeight="1" x14ac:dyDescent="0.25">
      <c r="A569" s="15"/>
      <c r="B569" s="15"/>
      <c r="C569" s="16"/>
      <c r="D569" s="15"/>
      <c r="E569" s="26"/>
      <c r="F569" s="16"/>
      <c r="G569" s="26"/>
      <c r="H569" s="16"/>
      <c r="I569" s="26"/>
      <c r="J569" s="16"/>
      <c r="K569" s="26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spans="1:31" ht="17.25" customHeight="1" x14ac:dyDescent="0.25">
      <c r="A570" s="15"/>
      <c r="B570" s="15"/>
      <c r="C570" s="16"/>
      <c r="D570" s="15"/>
      <c r="E570" s="26"/>
      <c r="F570" s="16"/>
      <c r="G570" s="26"/>
      <c r="H570" s="16"/>
      <c r="I570" s="26"/>
      <c r="J570" s="16"/>
      <c r="K570" s="26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spans="1:31" ht="17.25" customHeight="1" x14ac:dyDescent="0.25">
      <c r="A571" s="15"/>
      <c r="B571" s="15"/>
      <c r="C571" s="16"/>
      <c r="D571" s="15"/>
      <c r="E571" s="26"/>
      <c r="F571" s="16"/>
      <c r="G571" s="26"/>
      <c r="H571" s="16"/>
      <c r="I571" s="26"/>
      <c r="J571" s="16"/>
      <c r="K571" s="26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spans="1:31" ht="17.25" customHeight="1" x14ac:dyDescent="0.25">
      <c r="A572" s="15"/>
      <c r="B572" s="15"/>
      <c r="C572" s="16"/>
      <c r="D572" s="15"/>
      <c r="E572" s="26"/>
      <c r="F572" s="16"/>
      <c r="G572" s="26"/>
      <c r="H572" s="16"/>
      <c r="I572" s="26"/>
      <c r="J572" s="16"/>
      <c r="K572" s="26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spans="1:31" ht="17.25" customHeight="1" x14ac:dyDescent="0.25">
      <c r="A573" s="15"/>
      <c r="B573" s="15"/>
      <c r="C573" s="16"/>
      <c r="D573" s="15"/>
      <c r="E573" s="26"/>
      <c r="F573" s="16"/>
      <c r="G573" s="26"/>
      <c r="H573" s="16"/>
      <c r="I573" s="26"/>
      <c r="J573" s="16"/>
      <c r="K573" s="26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spans="1:31" ht="17.25" customHeight="1" x14ac:dyDescent="0.25">
      <c r="A574" s="15"/>
      <c r="B574" s="15"/>
      <c r="C574" s="16"/>
      <c r="D574" s="15"/>
      <c r="E574" s="26"/>
      <c r="F574" s="16"/>
      <c r="G574" s="26"/>
      <c r="H574" s="16"/>
      <c r="I574" s="26"/>
      <c r="J574" s="16"/>
      <c r="K574" s="26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spans="1:31" ht="17.25" customHeight="1" x14ac:dyDescent="0.25">
      <c r="A575" s="15"/>
      <c r="B575" s="15"/>
      <c r="C575" s="16"/>
      <c r="D575" s="15"/>
      <c r="E575" s="26"/>
      <c r="F575" s="16"/>
      <c r="G575" s="26"/>
      <c r="H575" s="16"/>
      <c r="I575" s="26"/>
      <c r="J575" s="16"/>
      <c r="K575" s="26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spans="1:31" ht="17.25" customHeight="1" x14ac:dyDescent="0.25">
      <c r="A576" s="15"/>
      <c r="B576" s="15"/>
      <c r="C576" s="16"/>
      <c r="D576" s="15"/>
      <c r="E576" s="26"/>
      <c r="F576" s="16"/>
      <c r="G576" s="26"/>
      <c r="H576" s="16"/>
      <c r="I576" s="26"/>
      <c r="J576" s="16"/>
      <c r="K576" s="26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spans="1:31" ht="17.25" customHeight="1" x14ac:dyDescent="0.25">
      <c r="A577" s="15"/>
      <c r="B577" s="15"/>
      <c r="C577" s="16"/>
      <c r="D577" s="15"/>
      <c r="E577" s="26"/>
      <c r="F577" s="16"/>
      <c r="G577" s="26"/>
      <c r="H577" s="16"/>
      <c r="I577" s="26"/>
      <c r="J577" s="16"/>
      <c r="K577" s="26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spans="1:31" ht="17.25" customHeight="1" x14ac:dyDescent="0.25">
      <c r="A578" s="15"/>
      <c r="B578" s="15"/>
      <c r="C578" s="16"/>
      <c r="D578" s="15"/>
      <c r="E578" s="26"/>
      <c r="F578" s="16"/>
      <c r="G578" s="26"/>
      <c r="H578" s="16"/>
      <c r="I578" s="26"/>
      <c r="J578" s="16"/>
      <c r="K578" s="26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spans="1:31" ht="17.25" customHeight="1" x14ac:dyDescent="0.25">
      <c r="A579" s="15"/>
      <c r="B579" s="15"/>
      <c r="C579" s="16"/>
      <c r="D579" s="15"/>
      <c r="E579" s="26"/>
      <c r="F579" s="16"/>
      <c r="G579" s="26"/>
      <c r="H579" s="16"/>
      <c r="I579" s="26"/>
      <c r="J579" s="16"/>
      <c r="K579" s="26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spans="1:31" ht="17.25" customHeight="1" x14ac:dyDescent="0.25">
      <c r="A580" s="15"/>
      <c r="B580" s="15"/>
      <c r="C580" s="16"/>
      <c r="D580" s="15"/>
      <c r="E580" s="26"/>
      <c r="F580" s="16"/>
      <c r="G580" s="26"/>
      <c r="H580" s="16"/>
      <c r="I580" s="26"/>
      <c r="J580" s="16"/>
      <c r="K580" s="26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spans="1:31" ht="17.25" customHeight="1" x14ac:dyDescent="0.25">
      <c r="A581" s="15"/>
      <c r="B581" s="15"/>
      <c r="C581" s="16"/>
      <c r="D581" s="15"/>
      <c r="E581" s="26"/>
      <c r="F581" s="16"/>
      <c r="G581" s="26"/>
      <c r="H581" s="16"/>
      <c r="I581" s="26"/>
      <c r="J581" s="16"/>
      <c r="K581" s="26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spans="1:31" ht="17.25" customHeight="1" x14ac:dyDescent="0.25">
      <c r="A582" s="15"/>
      <c r="B582" s="15"/>
      <c r="C582" s="16"/>
      <c r="D582" s="15"/>
      <c r="E582" s="26"/>
      <c r="F582" s="16"/>
      <c r="G582" s="26"/>
      <c r="H582" s="16"/>
      <c r="I582" s="26"/>
      <c r="J582" s="16"/>
      <c r="K582" s="26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spans="1:31" ht="17.25" customHeight="1" x14ac:dyDescent="0.25">
      <c r="A583" s="15"/>
      <c r="B583" s="15"/>
      <c r="C583" s="16"/>
      <c r="D583" s="15"/>
      <c r="E583" s="26"/>
      <c r="F583" s="16"/>
      <c r="G583" s="26"/>
      <c r="H583" s="16"/>
      <c r="I583" s="26"/>
      <c r="J583" s="16"/>
      <c r="K583" s="26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spans="1:31" ht="17.25" customHeight="1" x14ac:dyDescent="0.25">
      <c r="A584" s="15"/>
      <c r="B584" s="15"/>
      <c r="C584" s="16"/>
      <c r="D584" s="15"/>
      <c r="E584" s="26"/>
      <c r="F584" s="16"/>
      <c r="G584" s="26"/>
      <c r="H584" s="16"/>
      <c r="I584" s="26"/>
      <c r="J584" s="16"/>
      <c r="K584" s="26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spans="1:31" ht="17.25" customHeight="1" x14ac:dyDescent="0.25">
      <c r="A585" s="15"/>
      <c r="B585" s="15"/>
      <c r="C585" s="16"/>
      <c r="D585" s="15"/>
      <c r="E585" s="26"/>
      <c r="F585" s="16"/>
      <c r="G585" s="26"/>
      <c r="H585" s="16"/>
      <c r="I585" s="26"/>
      <c r="J585" s="16"/>
      <c r="K585" s="26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spans="1:31" ht="17.25" customHeight="1" x14ac:dyDescent="0.25">
      <c r="A586" s="15"/>
      <c r="B586" s="15"/>
      <c r="C586" s="16"/>
      <c r="D586" s="15"/>
      <c r="E586" s="26"/>
      <c r="F586" s="16"/>
      <c r="G586" s="26"/>
      <c r="H586" s="16"/>
      <c r="I586" s="26"/>
      <c r="J586" s="16"/>
      <c r="K586" s="26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spans="1:31" ht="17.25" customHeight="1" x14ac:dyDescent="0.25">
      <c r="A587" s="15"/>
      <c r="B587" s="15"/>
      <c r="C587" s="16"/>
      <c r="D587" s="15"/>
      <c r="E587" s="26"/>
      <c r="F587" s="16"/>
      <c r="G587" s="26"/>
      <c r="H587" s="16"/>
      <c r="I587" s="26"/>
      <c r="J587" s="16"/>
      <c r="K587" s="26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spans="1:31" ht="17.25" customHeight="1" x14ac:dyDescent="0.25">
      <c r="A588" s="15"/>
      <c r="B588" s="15"/>
      <c r="C588" s="16"/>
      <c r="D588" s="15"/>
      <c r="E588" s="26"/>
      <c r="F588" s="16"/>
      <c r="G588" s="26"/>
      <c r="H588" s="16"/>
      <c r="I588" s="26"/>
      <c r="J588" s="16"/>
      <c r="K588" s="26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spans="1:31" ht="17.25" customHeight="1" x14ac:dyDescent="0.25">
      <c r="A589" s="15"/>
      <c r="B589" s="15"/>
      <c r="C589" s="16"/>
      <c r="D589" s="15"/>
      <c r="E589" s="26"/>
      <c r="F589" s="16"/>
      <c r="G589" s="26"/>
      <c r="H589" s="16"/>
      <c r="I589" s="26"/>
      <c r="J589" s="16"/>
      <c r="K589" s="26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spans="1:31" ht="17.25" customHeight="1" x14ac:dyDescent="0.25">
      <c r="A590" s="15"/>
      <c r="B590" s="15"/>
      <c r="C590" s="16"/>
      <c r="D590" s="15"/>
      <c r="E590" s="26"/>
      <c r="F590" s="16"/>
      <c r="G590" s="26"/>
      <c r="H590" s="16"/>
      <c r="I590" s="26"/>
      <c r="J590" s="16"/>
      <c r="K590" s="26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spans="1:31" ht="17.25" customHeight="1" x14ac:dyDescent="0.25">
      <c r="A591" s="15"/>
      <c r="B591" s="15"/>
      <c r="C591" s="16"/>
      <c r="D591" s="15"/>
      <c r="E591" s="26"/>
      <c r="F591" s="16"/>
      <c r="G591" s="26"/>
      <c r="H591" s="16"/>
      <c r="I591" s="26"/>
      <c r="J591" s="16"/>
      <c r="K591" s="26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spans="1:31" ht="17.25" customHeight="1" x14ac:dyDescent="0.25">
      <c r="A592" s="15"/>
      <c r="B592" s="15"/>
      <c r="C592" s="16"/>
      <c r="D592" s="15"/>
      <c r="E592" s="26"/>
      <c r="F592" s="16"/>
      <c r="G592" s="26"/>
      <c r="H592" s="16"/>
      <c r="I592" s="26"/>
      <c r="J592" s="16"/>
      <c r="K592" s="26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spans="1:31" ht="17.25" customHeight="1" x14ac:dyDescent="0.25">
      <c r="A593" s="15"/>
      <c r="B593" s="15"/>
      <c r="C593" s="16"/>
      <c r="D593" s="15"/>
      <c r="E593" s="26"/>
      <c r="F593" s="16"/>
      <c r="G593" s="26"/>
      <c r="H593" s="16"/>
      <c r="I593" s="26"/>
      <c r="J593" s="16"/>
      <c r="K593" s="26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spans="1:31" ht="17.25" customHeight="1" x14ac:dyDescent="0.25">
      <c r="A594" s="15"/>
      <c r="B594" s="15"/>
      <c r="C594" s="16"/>
      <c r="D594" s="15"/>
      <c r="E594" s="26"/>
      <c r="F594" s="16"/>
      <c r="G594" s="26"/>
      <c r="H594" s="16"/>
      <c r="I594" s="26"/>
      <c r="J594" s="16"/>
      <c r="K594" s="26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spans="1:31" ht="17.25" customHeight="1" x14ac:dyDescent="0.25">
      <c r="A595" s="15"/>
      <c r="B595" s="15"/>
      <c r="C595" s="16"/>
      <c r="D595" s="15"/>
      <c r="E595" s="26"/>
      <c r="F595" s="16"/>
      <c r="G595" s="26"/>
      <c r="H595" s="16"/>
      <c r="I595" s="26"/>
      <c r="J595" s="16"/>
      <c r="K595" s="26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spans="1:31" ht="17.25" customHeight="1" x14ac:dyDescent="0.25">
      <c r="A596" s="15"/>
      <c r="B596" s="15"/>
      <c r="C596" s="16"/>
      <c r="D596" s="15"/>
      <c r="E596" s="26"/>
      <c r="F596" s="16"/>
      <c r="G596" s="26"/>
      <c r="H596" s="16"/>
      <c r="I596" s="26"/>
      <c r="J596" s="16"/>
      <c r="K596" s="26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spans="1:31" ht="17.25" customHeight="1" x14ac:dyDescent="0.25">
      <c r="A597" s="15"/>
      <c r="B597" s="15"/>
      <c r="C597" s="16"/>
      <c r="D597" s="15"/>
      <c r="E597" s="26"/>
      <c r="F597" s="16"/>
      <c r="G597" s="26"/>
      <c r="H597" s="16"/>
      <c r="I597" s="26"/>
      <c r="J597" s="16"/>
      <c r="K597" s="26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spans="1:31" ht="17.25" customHeight="1" x14ac:dyDescent="0.25">
      <c r="A598" s="15"/>
      <c r="B598" s="15"/>
      <c r="C598" s="16"/>
      <c r="D598" s="15"/>
      <c r="E598" s="26"/>
      <c r="F598" s="16"/>
      <c r="G598" s="26"/>
      <c r="H598" s="16"/>
      <c r="I598" s="26"/>
      <c r="J598" s="16"/>
      <c r="K598" s="26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spans="1:31" ht="17.25" customHeight="1" x14ac:dyDescent="0.25">
      <c r="A599" s="15"/>
      <c r="B599" s="15"/>
      <c r="C599" s="16"/>
      <c r="D599" s="15"/>
      <c r="E599" s="26"/>
      <c r="F599" s="16"/>
      <c r="G599" s="26"/>
      <c r="H599" s="16"/>
      <c r="I599" s="26"/>
      <c r="J599" s="16"/>
      <c r="K599" s="26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spans="1:31" ht="17.25" customHeight="1" x14ac:dyDescent="0.25">
      <c r="A600" s="15"/>
      <c r="B600" s="15"/>
      <c r="C600" s="16"/>
      <c r="D600" s="15"/>
      <c r="E600" s="26"/>
      <c r="F600" s="16"/>
      <c r="G600" s="26"/>
      <c r="H600" s="16"/>
      <c r="I600" s="26"/>
      <c r="J600" s="16"/>
      <c r="K600" s="26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spans="1:31" ht="17.25" customHeight="1" x14ac:dyDescent="0.25">
      <c r="A601" s="15"/>
      <c r="B601" s="15"/>
      <c r="C601" s="16"/>
      <c r="D601" s="15"/>
      <c r="E601" s="26"/>
      <c r="F601" s="16"/>
      <c r="G601" s="26"/>
      <c r="H601" s="16"/>
      <c r="I601" s="26"/>
      <c r="J601" s="16"/>
      <c r="K601" s="26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spans="1:31" ht="17.25" customHeight="1" x14ac:dyDescent="0.25">
      <c r="A602" s="15"/>
      <c r="B602" s="15"/>
      <c r="C602" s="16"/>
      <c r="D602" s="15"/>
      <c r="E602" s="26"/>
      <c r="F602" s="16"/>
      <c r="G602" s="26"/>
      <c r="H602" s="16"/>
      <c r="I602" s="26"/>
      <c r="J602" s="16"/>
      <c r="K602" s="26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spans="1:31" ht="17.25" customHeight="1" x14ac:dyDescent="0.25">
      <c r="A603" s="15"/>
      <c r="B603" s="15"/>
      <c r="C603" s="16"/>
      <c r="D603" s="15"/>
      <c r="E603" s="26"/>
      <c r="F603" s="16"/>
      <c r="G603" s="26"/>
      <c r="H603" s="16"/>
      <c r="I603" s="26"/>
      <c r="J603" s="16"/>
      <c r="K603" s="26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spans="1:31" ht="17.25" customHeight="1" x14ac:dyDescent="0.25">
      <c r="A604" s="15"/>
      <c r="B604" s="15"/>
      <c r="C604" s="16"/>
      <c r="D604" s="15"/>
      <c r="E604" s="26"/>
      <c r="F604" s="16"/>
      <c r="G604" s="26"/>
      <c r="H604" s="16"/>
      <c r="I604" s="26"/>
      <c r="J604" s="16"/>
      <c r="K604" s="26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spans="1:31" ht="17.25" customHeight="1" x14ac:dyDescent="0.25">
      <c r="A605" s="15"/>
      <c r="B605" s="15"/>
      <c r="C605" s="16"/>
      <c r="D605" s="15"/>
      <c r="E605" s="26"/>
      <c r="F605" s="16"/>
      <c r="G605" s="26"/>
      <c r="H605" s="16"/>
      <c r="I605" s="26"/>
      <c r="J605" s="16"/>
      <c r="K605" s="26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spans="1:31" ht="17.25" customHeight="1" x14ac:dyDescent="0.25">
      <c r="A606" s="15"/>
      <c r="B606" s="15"/>
      <c r="C606" s="16"/>
      <c r="D606" s="15"/>
      <c r="E606" s="26"/>
      <c r="F606" s="16"/>
      <c r="G606" s="26"/>
      <c r="H606" s="16"/>
      <c r="I606" s="26"/>
      <c r="J606" s="16"/>
      <c r="K606" s="26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spans="1:31" ht="17.25" customHeight="1" x14ac:dyDescent="0.25">
      <c r="A607" s="15"/>
      <c r="B607" s="15"/>
      <c r="C607" s="16"/>
      <c r="D607" s="15"/>
      <c r="E607" s="26"/>
      <c r="F607" s="16"/>
      <c r="G607" s="26"/>
      <c r="H607" s="16"/>
      <c r="I607" s="26"/>
      <c r="J607" s="16"/>
      <c r="K607" s="26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spans="1:31" ht="17.25" customHeight="1" x14ac:dyDescent="0.25">
      <c r="A608" s="15"/>
      <c r="B608" s="15"/>
      <c r="C608" s="16"/>
      <c r="D608" s="15"/>
      <c r="E608" s="26"/>
      <c r="F608" s="16"/>
      <c r="G608" s="26"/>
      <c r="H608" s="16"/>
      <c r="I608" s="26"/>
      <c r="J608" s="16"/>
      <c r="K608" s="26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spans="1:31" ht="17.25" customHeight="1" x14ac:dyDescent="0.25">
      <c r="A609" s="15"/>
      <c r="B609" s="15"/>
      <c r="C609" s="16"/>
      <c r="D609" s="15"/>
      <c r="E609" s="26"/>
      <c r="F609" s="16"/>
      <c r="G609" s="26"/>
      <c r="H609" s="16"/>
      <c r="I609" s="26"/>
      <c r="J609" s="16"/>
      <c r="K609" s="26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spans="1:31" ht="17.25" customHeight="1" x14ac:dyDescent="0.25">
      <c r="A610" s="15"/>
      <c r="B610" s="15"/>
      <c r="C610" s="16"/>
      <c r="D610" s="15"/>
      <c r="E610" s="26"/>
      <c r="F610" s="16"/>
      <c r="G610" s="26"/>
      <c r="H610" s="16"/>
      <c r="I610" s="26"/>
      <c r="J610" s="16"/>
      <c r="K610" s="26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spans="1:31" ht="17.25" customHeight="1" x14ac:dyDescent="0.25">
      <c r="A611" s="15"/>
      <c r="B611" s="15"/>
      <c r="C611" s="16"/>
      <c r="D611" s="15"/>
      <c r="E611" s="26"/>
      <c r="F611" s="16"/>
      <c r="G611" s="26"/>
      <c r="H611" s="16"/>
      <c r="I611" s="26"/>
      <c r="J611" s="16"/>
      <c r="K611" s="26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spans="1:31" ht="17.25" customHeight="1" x14ac:dyDescent="0.25">
      <c r="A612" s="15"/>
      <c r="B612" s="15"/>
      <c r="C612" s="16"/>
      <c r="D612" s="15"/>
      <c r="E612" s="26"/>
      <c r="F612" s="16"/>
      <c r="G612" s="26"/>
      <c r="H612" s="16"/>
      <c r="I612" s="26"/>
      <c r="J612" s="16"/>
      <c r="K612" s="26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spans="1:31" ht="17.25" customHeight="1" x14ac:dyDescent="0.25">
      <c r="A613" s="15"/>
      <c r="B613" s="15"/>
      <c r="C613" s="16"/>
      <c r="D613" s="15"/>
      <c r="E613" s="26"/>
      <c r="F613" s="16"/>
      <c r="G613" s="26"/>
      <c r="H613" s="16"/>
      <c r="I613" s="26"/>
      <c r="J613" s="16"/>
      <c r="K613" s="26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spans="1:31" ht="17.25" customHeight="1" x14ac:dyDescent="0.25">
      <c r="A614" s="15"/>
      <c r="B614" s="15"/>
      <c r="C614" s="16"/>
      <c r="D614" s="15"/>
      <c r="E614" s="26"/>
      <c r="F614" s="16"/>
      <c r="G614" s="26"/>
      <c r="H614" s="16"/>
      <c r="I614" s="26"/>
      <c r="J614" s="16"/>
      <c r="K614" s="26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spans="1:31" ht="17.25" customHeight="1" x14ac:dyDescent="0.25">
      <c r="A615" s="15"/>
      <c r="B615" s="15"/>
      <c r="C615" s="16"/>
      <c r="D615" s="15"/>
      <c r="E615" s="26"/>
      <c r="F615" s="16"/>
      <c r="G615" s="26"/>
      <c r="H615" s="16"/>
      <c r="I615" s="26"/>
      <c r="J615" s="16"/>
      <c r="K615" s="26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spans="1:31" ht="17.25" customHeight="1" x14ac:dyDescent="0.25">
      <c r="A616" s="15"/>
      <c r="B616" s="15"/>
      <c r="C616" s="16"/>
      <c r="D616" s="15"/>
      <c r="E616" s="26"/>
      <c r="F616" s="16"/>
      <c r="G616" s="26"/>
      <c r="H616" s="16"/>
      <c r="I616" s="26"/>
      <c r="J616" s="16"/>
      <c r="K616" s="26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spans="1:31" ht="17.25" customHeight="1" x14ac:dyDescent="0.25">
      <c r="A617" s="15"/>
      <c r="B617" s="15"/>
      <c r="C617" s="16"/>
      <c r="D617" s="15"/>
      <c r="E617" s="26"/>
      <c r="F617" s="16"/>
      <c r="G617" s="26"/>
      <c r="H617" s="16"/>
      <c r="I617" s="26"/>
      <c r="J617" s="16"/>
      <c r="K617" s="26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spans="1:31" ht="17.25" customHeight="1" x14ac:dyDescent="0.25">
      <c r="A618" s="15"/>
      <c r="B618" s="15"/>
      <c r="C618" s="16"/>
      <c r="D618" s="15"/>
      <c r="E618" s="26"/>
      <c r="F618" s="16"/>
      <c r="G618" s="26"/>
      <c r="H618" s="16"/>
      <c r="I618" s="26"/>
      <c r="J618" s="16"/>
      <c r="K618" s="26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spans="1:31" ht="17.25" customHeight="1" x14ac:dyDescent="0.25">
      <c r="A619" s="15"/>
      <c r="B619" s="15"/>
      <c r="C619" s="16"/>
      <c r="D619" s="15"/>
      <c r="E619" s="26"/>
      <c r="F619" s="16"/>
      <c r="G619" s="26"/>
      <c r="H619" s="16"/>
      <c r="I619" s="26"/>
      <c r="J619" s="16"/>
      <c r="K619" s="26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spans="1:31" ht="17.25" customHeight="1" x14ac:dyDescent="0.25">
      <c r="A620" s="15"/>
      <c r="B620" s="15"/>
      <c r="C620" s="16"/>
      <c r="D620" s="15"/>
      <c r="E620" s="26"/>
      <c r="F620" s="16"/>
      <c r="G620" s="26"/>
      <c r="H620" s="16"/>
      <c r="I620" s="26"/>
      <c r="J620" s="16"/>
      <c r="K620" s="26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spans="1:31" ht="17.25" customHeight="1" x14ac:dyDescent="0.25">
      <c r="A621" s="15"/>
      <c r="B621" s="15"/>
      <c r="C621" s="16"/>
      <c r="D621" s="15"/>
      <c r="E621" s="26"/>
      <c r="F621" s="16"/>
      <c r="G621" s="26"/>
      <c r="H621" s="16"/>
      <c r="I621" s="26"/>
      <c r="J621" s="16"/>
      <c r="K621" s="26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spans="1:31" ht="17.25" customHeight="1" x14ac:dyDescent="0.25">
      <c r="A622" s="15"/>
      <c r="B622" s="15"/>
      <c r="C622" s="16"/>
      <c r="D622" s="15"/>
      <c r="E622" s="26"/>
      <c r="F622" s="16"/>
      <c r="G622" s="26"/>
      <c r="H622" s="16"/>
      <c r="I622" s="26"/>
      <c r="J622" s="16"/>
      <c r="K622" s="26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spans="1:31" ht="17.25" customHeight="1" x14ac:dyDescent="0.25">
      <c r="A623" s="15"/>
      <c r="B623" s="15"/>
      <c r="C623" s="16"/>
      <c r="D623" s="15"/>
      <c r="E623" s="26"/>
      <c r="F623" s="16"/>
      <c r="G623" s="26"/>
      <c r="H623" s="16"/>
      <c r="I623" s="26"/>
      <c r="J623" s="16"/>
      <c r="K623" s="26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spans="1:31" ht="17.25" customHeight="1" x14ac:dyDescent="0.25">
      <c r="A624" s="15"/>
      <c r="B624" s="15"/>
      <c r="C624" s="16"/>
      <c r="D624" s="15"/>
      <c r="E624" s="26"/>
      <c r="F624" s="16"/>
      <c r="G624" s="26"/>
      <c r="H624" s="16"/>
      <c r="I624" s="26"/>
      <c r="J624" s="16"/>
      <c r="K624" s="26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spans="1:31" ht="17.25" customHeight="1" x14ac:dyDescent="0.25">
      <c r="A625" s="15"/>
      <c r="B625" s="15"/>
      <c r="C625" s="16"/>
      <c r="D625" s="15"/>
      <c r="E625" s="26"/>
      <c r="F625" s="16"/>
      <c r="G625" s="26"/>
      <c r="H625" s="16"/>
      <c r="I625" s="26"/>
      <c r="J625" s="16"/>
      <c r="K625" s="26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spans="1:31" ht="17.25" customHeight="1" x14ac:dyDescent="0.25">
      <c r="A626" s="15"/>
      <c r="B626" s="15"/>
      <c r="C626" s="16"/>
      <c r="D626" s="15"/>
      <c r="E626" s="26"/>
      <c r="F626" s="16"/>
      <c r="G626" s="26"/>
      <c r="H626" s="16"/>
      <c r="I626" s="26"/>
      <c r="J626" s="16"/>
      <c r="K626" s="26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spans="1:31" ht="17.25" customHeight="1" x14ac:dyDescent="0.25">
      <c r="A627" s="15"/>
      <c r="B627" s="15"/>
      <c r="C627" s="16"/>
      <c r="D627" s="15"/>
      <c r="E627" s="26"/>
      <c r="F627" s="16"/>
      <c r="G627" s="26"/>
      <c r="H627" s="16"/>
      <c r="I627" s="26"/>
      <c r="J627" s="16"/>
      <c r="K627" s="26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spans="1:31" ht="17.25" customHeight="1" x14ac:dyDescent="0.25">
      <c r="A628" s="15"/>
      <c r="B628" s="15"/>
      <c r="C628" s="16"/>
      <c r="D628" s="15"/>
      <c r="E628" s="26"/>
      <c r="F628" s="16"/>
      <c r="G628" s="26"/>
      <c r="H628" s="16"/>
      <c r="I628" s="26"/>
      <c r="J628" s="16"/>
      <c r="K628" s="26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spans="1:31" ht="17.25" customHeight="1" x14ac:dyDescent="0.25">
      <c r="A629" s="15"/>
      <c r="B629" s="15"/>
      <c r="C629" s="16"/>
      <c r="D629" s="15"/>
      <c r="E629" s="26"/>
      <c r="F629" s="16"/>
      <c r="G629" s="26"/>
      <c r="H629" s="16"/>
      <c r="I629" s="26"/>
      <c r="J629" s="16"/>
      <c r="K629" s="26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spans="1:31" ht="17.25" customHeight="1" x14ac:dyDescent="0.25">
      <c r="A630" s="15"/>
      <c r="B630" s="15"/>
      <c r="C630" s="16"/>
      <c r="D630" s="15"/>
      <c r="E630" s="26"/>
      <c r="F630" s="16"/>
      <c r="G630" s="26"/>
      <c r="H630" s="16"/>
      <c r="I630" s="26"/>
      <c r="J630" s="16"/>
      <c r="K630" s="26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spans="1:31" ht="17.25" customHeight="1" x14ac:dyDescent="0.25">
      <c r="A631" s="15"/>
      <c r="B631" s="15"/>
      <c r="C631" s="16"/>
      <c r="D631" s="15"/>
      <c r="E631" s="26"/>
      <c r="F631" s="16"/>
      <c r="G631" s="26"/>
      <c r="H631" s="16"/>
      <c r="I631" s="26"/>
      <c r="J631" s="16"/>
      <c r="K631" s="26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spans="1:31" ht="17.25" customHeight="1" x14ac:dyDescent="0.25">
      <c r="A632" s="15"/>
      <c r="B632" s="15"/>
      <c r="C632" s="16"/>
      <c r="D632" s="15"/>
      <c r="E632" s="26"/>
      <c r="F632" s="16"/>
      <c r="G632" s="26"/>
      <c r="H632" s="16"/>
      <c r="I632" s="26"/>
      <c r="J632" s="16"/>
      <c r="K632" s="26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spans="1:31" ht="17.25" customHeight="1" x14ac:dyDescent="0.25">
      <c r="A633" s="15"/>
      <c r="B633" s="15"/>
      <c r="C633" s="16"/>
      <c r="D633" s="15"/>
      <c r="E633" s="26"/>
      <c r="F633" s="16"/>
      <c r="G633" s="26"/>
      <c r="H633" s="16"/>
      <c r="I633" s="26"/>
      <c r="J633" s="16"/>
      <c r="K633" s="26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spans="1:31" ht="17.25" customHeight="1" x14ac:dyDescent="0.25">
      <c r="A634" s="15"/>
      <c r="B634" s="15"/>
      <c r="C634" s="16"/>
      <c r="D634" s="15"/>
      <c r="E634" s="26"/>
      <c r="F634" s="16"/>
      <c r="G634" s="26"/>
      <c r="H634" s="16"/>
      <c r="I634" s="26"/>
      <c r="J634" s="16"/>
      <c r="K634" s="26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spans="1:31" ht="17.25" customHeight="1" x14ac:dyDescent="0.25">
      <c r="A635" s="15"/>
      <c r="B635" s="15"/>
      <c r="C635" s="16"/>
      <c r="D635" s="15"/>
      <c r="E635" s="26"/>
      <c r="F635" s="16"/>
      <c r="G635" s="26"/>
      <c r="H635" s="16"/>
      <c r="I635" s="26"/>
      <c r="J635" s="16"/>
      <c r="K635" s="26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spans="1:31" ht="17.25" customHeight="1" x14ac:dyDescent="0.25">
      <c r="A636" s="15"/>
      <c r="B636" s="15"/>
      <c r="C636" s="16"/>
      <c r="D636" s="15"/>
      <c r="E636" s="26"/>
      <c r="F636" s="16"/>
      <c r="G636" s="26"/>
      <c r="H636" s="16"/>
      <c r="I636" s="26"/>
      <c r="J636" s="16"/>
      <c r="K636" s="26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spans="1:31" ht="17.25" customHeight="1" x14ac:dyDescent="0.25">
      <c r="A637" s="15"/>
      <c r="B637" s="15"/>
      <c r="C637" s="16"/>
      <c r="D637" s="15"/>
      <c r="E637" s="26"/>
      <c r="F637" s="16"/>
      <c r="G637" s="26"/>
      <c r="H637" s="16"/>
      <c r="I637" s="26"/>
      <c r="J637" s="16"/>
      <c r="K637" s="26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spans="1:31" ht="17.25" customHeight="1" x14ac:dyDescent="0.25">
      <c r="A638" s="15"/>
      <c r="B638" s="15"/>
      <c r="C638" s="16"/>
      <c r="D638" s="15"/>
      <c r="E638" s="26"/>
      <c r="F638" s="16"/>
      <c r="G638" s="26"/>
      <c r="H638" s="16"/>
      <c r="I638" s="26"/>
      <c r="J638" s="16"/>
      <c r="K638" s="26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spans="1:31" ht="17.25" customHeight="1" x14ac:dyDescent="0.25">
      <c r="A639" s="15"/>
      <c r="B639" s="15"/>
      <c r="C639" s="16"/>
      <c r="D639" s="15"/>
      <c r="E639" s="26"/>
      <c r="F639" s="16"/>
      <c r="G639" s="26"/>
      <c r="H639" s="16"/>
      <c r="I639" s="26"/>
      <c r="J639" s="16"/>
      <c r="K639" s="26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spans="1:31" ht="17.25" customHeight="1" x14ac:dyDescent="0.25">
      <c r="A640" s="15"/>
      <c r="B640" s="15"/>
      <c r="C640" s="16"/>
      <c r="D640" s="15"/>
      <c r="E640" s="26"/>
      <c r="F640" s="16"/>
      <c r="G640" s="26"/>
      <c r="H640" s="16"/>
      <c r="I640" s="26"/>
      <c r="J640" s="16"/>
      <c r="K640" s="26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spans="1:31" ht="17.25" customHeight="1" x14ac:dyDescent="0.25">
      <c r="A641" s="15"/>
      <c r="B641" s="15"/>
      <c r="C641" s="16"/>
      <c r="D641" s="15"/>
      <c r="E641" s="26"/>
      <c r="F641" s="16"/>
      <c r="G641" s="26"/>
      <c r="H641" s="16"/>
      <c r="I641" s="26"/>
      <c r="J641" s="16"/>
      <c r="K641" s="26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spans="1:31" ht="17.25" customHeight="1" x14ac:dyDescent="0.25">
      <c r="A642" s="15"/>
      <c r="B642" s="15"/>
      <c r="C642" s="16"/>
      <c r="D642" s="15"/>
      <c r="E642" s="26"/>
      <c r="F642" s="16"/>
      <c r="G642" s="26"/>
      <c r="H642" s="16"/>
      <c r="I642" s="26"/>
      <c r="J642" s="16"/>
      <c r="K642" s="26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spans="1:31" ht="17.25" customHeight="1" x14ac:dyDescent="0.25">
      <c r="A643" s="15"/>
      <c r="B643" s="15"/>
      <c r="C643" s="16"/>
      <c r="D643" s="15"/>
      <c r="E643" s="26"/>
      <c r="F643" s="16"/>
      <c r="G643" s="26"/>
      <c r="H643" s="16"/>
      <c r="I643" s="26"/>
      <c r="J643" s="16"/>
      <c r="K643" s="26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spans="1:31" ht="17.25" customHeight="1" x14ac:dyDescent="0.25">
      <c r="A644" s="15"/>
      <c r="B644" s="15"/>
      <c r="C644" s="16"/>
      <c r="D644" s="15"/>
      <c r="E644" s="26"/>
      <c r="F644" s="16"/>
      <c r="G644" s="26"/>
      <c r="H644" s="16"/>
      <c r="I644" s="26"/>
      <c r="J644" s="16"/>
      <c r="K644" s="26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spans="1:31" ht="17.25" customHeight="1" x14ac:dyDescent="0.25">
      <c r="A645" s="15"/>
      <c r="B645" s="15"/>
      <c r="C645" s="16"/>
      <c r="D645" s="15"/>
      <c r="E645" s="26"/>
      <c r="F645" s="16"/>
      <c r="G645" s="26"/>
      <c r="H645" s="16"/>
      <c r="I645" s="26"/>
      <c r="J645" s="16"/>
      <c r="K645" s="26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spans="1:31" ht="17.25" customHeight="1" x14ac:dyDescent="0.25">
      <c r="A646" s="15"/>
      <c r="B646" s="15"/>
      <c r="C646" s="16"/>
      <c r="D646" s="15"/>
      <c r="E646" s="26"/>
      <c r="F646" s="16"/>
      <c r="G646" s="26"/>
      <c r="H646" s="16"/>
      <c r="I646" s="26"/>
      <c r="J646" s="16"/>
      <c r="K646" s="26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spans="1:31" ht="17.25" customHeight="1" x14ac:dyDescent="0.25">
      <c r="A647" s="15"/>
      <c r="B647" s="15"/>
      <c r="C647" s="16"/>
      <c r="D647" s="15"/>
      <c r="E647" s="26"/>
      <c r="F647" s="16"/>
      <c r="G647" s="26"/>
      <c r="H647" s="16"/>
      <c r="I647" s="26"/>
      <c r="J647" s="16"/>
      <c r="K647" s="26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spans="1:31" ht="17.25" customHeight="1" x14ac:dyDescent="0.25">
      <c r="A648" s="15"/>
      <c r="B648" s="15"/>
      <c r="C648" s="16"/>
      <c r="D648" s="15"/>
      <c r="E648" s="26"/>
      <c r="F648" s="16"/>
      <c r="G648" s="26"/>
      <c r="H648" s="16"/>
      <c r="I648" s="26"/>
      <c r="J648" s="16"/>
      <c r="K648" s="26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spans="1:31" ht="17.25" customHeight="1" x14ac:dyDescent="0.25">
      <c r="A649" s="15"/>
      <c r="B649" s="15"/>
      <c r="C649" s="16"/>
      <c r="D649" s="15"/>
      <c r="E649" s="26"/>
      <c r="F649" s="16"/>
      <c r="G649" s="26"/>
      <c r="H649" s="16"/>
      <c r="I649" s="26"/>
      <c r="J649" s="16"/>
      <c r="K649" s="26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spans="1:31" ht="17.25" customHeight="1" x14ac:dyDescent="0.25">
      <c r="A650" s="15"/>
      <c r="B650" s="15"/>
      <c r="C650" s="16"/>
      <c r="D650" s="15"/>
      <c r="E650" s="26"/>
      <c r="F650" s="16"/>
      <c r="G650" s="26"/>
      <c r="H650" s="16"/>
      <c r="I650" s="26"/>
      <c r="J650" s="16"/>
      <c r="K650" s="26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spans="1:31" ht="17.25" customHeight="1" x14ac:dyDescent="0.25">
      <c r="A651" s="15"/>
      <c r="B651" s="15"/>
      <c r="C651" s="16"/>
      <c r="D651" s="15"/>
      <c r="E651" s="26"/>
      <c r="F651" s="16"/>
      <c r="G651" s="26"/>
      <c r="H651" s="16"/>
      <c r="I651" s="26"/>
      <c r="J651" s="16"/>
      <c r="K651" s="26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spans="1:31" ht="17.25" customHeight="1" x14ac:dyDescent="0.25">
      <c r="A652" s="15"/>
      <c r="B652" s="15"/>
      <c r="C652" s="16"/>
      <c r="D652" s="15"/>
      <c r="E652" s="26"/>
      <c r="F652" s="16"/>
      <c r="G652" s="26"/>
      <c r="H652" s="16"/>
      <c r="I652" s="26"/>
      <c r="J652" s="16"/>
      <c r="K652" s="26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spans="1:31" ht="17.25" customHeight="1" x14ac:dyDescent="0.25">
      <c r="A653" s="15"/>
      <c r="B653" s="15"/>
      <c r="C653" s="16"/>
      <c r="D653" s="15"/>
      <c r="E653" s="26"/>
      <c r="F653" s="16"/>
      <c r="G653" s="26"/>
      <c r="H653" s="16"/>
      <c r="I653" s="26"/>
      <c r="J653" s="16"/>
      <c r="K653" s="26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spans="1:31" ht="17.25" customHeight="1" x14ac:dyDescent="0.25">
      <c r="A654" s="15"/>
      <c r="B654" s="15"/>
      <c r="C654" s="16"/>
      <c r="D654" s="15"/>
      <c r="E654" s="26"/>
      <c r="F654" s="16"/>
      <c r="G654" s="26"/>
      <c r="H654" s="16"/>
      <c r="I654" s="26"/>
      <c r="J654" s="16"/>
      <c r="K654" s="26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spans="1:31" ht="17.25" customHeight="1" x14ac:dyDescent="0.25">
      <c r="A655" s="15"/>
      <c r="B655" s="15"/>
      <c r="C655" s="16"/>
      <c r="D655" s="15"/>
      <c r="E655" s="26"/>
      <c r="F655" s="16"/>
      <c r="G655" s="26"/>
      <c r="H655" s="16"/>
      <c r="I655" s="26"/>
      <c r="J655" s="16"/>
      <c r="K655" s="26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spans="1:31" ht="17.25" customHeight="1" x14ac:dyDescent="0.25">
      <c r="A656" s="15"/>
      <c r="B656" s="15"/>
      <c r="C656" s="16"/>
      <c r="D656" s="15"/>
      <c r="E656" s="26"/>
      <c r="F656" s="16"/>
      <c r="G656" s="26"/>
      <c r="H656" s="16"/>
      <c r="I656" s="26"/>
      <c r="J656" s="16"/>
      <c r="K656" s="26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spans="1:31" ht="17.25" customHeight="1" x14ac:dyDescent="0.25">
      <c r="A657" s="15"/>
      <c r="B657" s="15"/>
      <c r="C657" s="16"/>
      <c r="D657" s="15"/>
      <c r="E657" s="26"/>
      <c r="F657" s="16"/>
      <c r="G657" s="26"/>
      <c r="H657" s="16"/>
      <c r="I657" s="26"/>
      <c r="J657" s="16"/>
      <c r="K657" s="26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spans="1:31" ht="17.25" customHeight="1" x14ac:dyDescent="0.25">
      <c r="A658" s="15"/>
      <c r="B658" s="15"/>
      <c r="C658" s="16"/>
      <c r="D658" s="15"/>
      <c r="E658" s="26"/>
      <c r="F658" s="16"/>
      <c r="G658" s="26"/>
      <c r="H658" s="16"/>
      <c r="I658" s="26"/>
      <c r="J658" s="16"/>
      <c r="K658" s="26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spans="1:31" ht="17.25" customHeight="1" x14ac:dyDescent="0.25">
      <c r="A659" s="15"/>
      <c r="B659" s="15"/>
      <c r="C659" s="16"/>
      <c r="D659" s="15"/>
      <c r="E659" s="26"/>
      <c r="F659" s="16"/>
      <c r="G659" s="26"/>
      <c r="H659" s="16"/>
      <c r="I659" s="26"/>
      <c r="J659" s="16"/>
      <c r="K659" s="26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spans="1:31" ht="17.25" customHeight="1" x14ac:dyDescent="0.25">
      <c r="A660" s="15"/>
      <c r="B660" s="15"/>
      <c r="C660" s="16"/>
      <c r="D660" s="15"/>
      <c r="E660" s="26"/>
      <c r="F660" s="16"/>
      <c r="G660" s="26"/>
      <c r="H660" s="16"/>
      <c r="I660" s="26"/>
      <c r="J660" s="16"/>
      <c r="K660" s="26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spans="1:31" ht="17.25" customHeight="1" x14ac:dyDescent="0.25">
      <c r="A661" s="15"/>
      <c r="B661" s="15"/>
      <c r="C661" s="16"/>
      <c r="D661" s="15"/>
      <c r="E661" s="26"/>
      <c r="F661" s="16"/>
      <c r="G661" s="26"/>
      <c r="H661" s="16"/>
      <c r="I661" s="26"/>
      <c r="J661" s="16"/>
      <c r="K661" s="26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spans="1:31" ht="17.25" customHeight="1" x14ac:dyDescent="0.25">
      <c r="A662" s="15"/>
      <c r="B662" s="15"/>
      <c r="C662" s="16"/>
      <c r="D662" s="15"/>
      <c r="E662" s="26"/>
      <c r="F662" s="16"/>
      <c r="G662" s="26"/>
      <c r="H662" s="16"/>
      <c r="I662" s="26"/>
      <c r="J662" s="16"/>
      <c r="K662" s="26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spans="1:31" ht="17.25" customHeight="1" x14ac:dyDescent="0.25">
      <c r="A663" s="15"/>
      <c r="B663" s="15"/>
      <c r="C663" s="16"/>
      <c r="D663" s="15"/>
      <c r="E663" s="26"/>
      <c r="F663" s="16"/>
      <c r="G663" s="26"/>
      <c r="H663" s="16"/>
      <c r="I663" s="26"/>
      <c r="J663" s="16"/>
      <c r="K663" s="26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spans="1:31" ht="17.25" customHeight="1" x14ac:dyDescent="0.25">
      <c r="A664" s="15"/>
      <c r="B664" s="15"/>
      <c r="C664" s="16"/>
      <c r="D664" s="15"/>
      <c r="E664" s="26"/>
      <c r="F664" s="16"/>
      <c r="G664" s="26"/>
      <c r="H664" s="16"/>
      <c r="I664" s="26"/>
      <c r="J664" s="16"/>
      <c r="K664" s="26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spans="1:31" ht="17.25" customHeight="1" x14ac:dyDescent="0.25">
      <c r="A665" s="15"/>
      <c r="B665" s="15"/>
      <c r="C665" s="16"/>
      <c r="D665" s="15"/>
      <c r="E665" s="26"/>
      <c r="F665" s="16"/>
      <c r="G665" s="26"/>
      <c r="H665" s="16"/>
      <c r="I665" s="26"/>
      <c r="J665" s="16"/>
      <c r="K665" s="26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spans="1:31" ht="17.25" customHeight="1" x14ac:dyDescent="0.25">
      <c r="A666" s="15"/>
      <c r="B666" s="15"/>
      <c r="C666" s="16"/>
      <c r="D666" s="15"/>
      <c r="E666" s="26"/>
      <c r="F666" s="16"/>
      <c r="G666" s="26"/>
      <c r="H666" s="16"/>
      <c r="I666" s="26"/>
      <c r="J666" s="16"/>
      <c r="K666" s="26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spans="1:31" ht="17.25" customHeight="1" x14ac:dyDescent="0.25">
      <c r="A667" s="15"/>
      <c r="B667" s="15"/>
      <c r="C667" s="16"/>
      <c r="D667" s="15"/>
      <c r="E667" s="26"/>
      <c r="F667" s="16"/>
      <c r="G667" s="26"/>
      <c r="H667" s="16"/>
      <c r="I667" s="26"/>
      <c r="J667" s="16"/>
      <c r="K667" s="26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spans="1:31" ht="17.25" customHeight="1" x14ac:dyDescent="0.25">
      <c r="A668" s="15"/>
      <c r="B668" s="15"/>
      <c r="C668" s="16"/>
      <c r="D668" s="15"/>
      <c r="E668" s="26"/>
      <c r="F668" s="16"/>
      <c r="G668" s="26"/>
      <c r="H668" s="16"/>
      <c r="I668" s="26"/>
      <c r="J668" s="16"/>
      <c r="K668" s="26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spans="1:31" ht="17.25" customHeight="1" x14ac:dyDescent="0.25">
      <c r="A669" s="15"/>
      <c r="B669" s="15"/>
      <c r="C669" s="16"/>
      <c r="D669" s="15"/>
      <c r="E669" s="26"/>
      <c r="F669" s="16"/>
      <c r="G669" s="26"/>
      <c r="H669" s="16"/>
      <c r="I669" s="26"/>
      <c r="J669" s="16"/>
      <c r="K669" s="26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spans="1:31" ht="17.25" customHeight="1" x14ac:dyDescent="0.25">
      <c r="A670" s="15"/>
      <c r="B670" s="15"/>
      <c r="C670" s="16"/>
      <c r="D670" s="15"/>
      <c r="E670" s="26"/>
      <c r="F670" s="16"/>
      <c r="G670" s="26"/>
      <c r="H670" s="16"/>
      <c r="I670" s="26"/>
      <c r="J670" s="16"/>
      <c r="K670" s="26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spans="1:31" ht="17.25" customHeight="1" x14ac:dyDescent="0.25">
      <c r="A671" s="15"/>
      <c r="B671" s="15"/>
      <c r="C671" s="16"/>
      <c r="D671" s="15"/>
      <c r="E671" s="26"/>
      <c r="F671" s="16"/>
      <c r="G671" s="26"/>
      <c r="H671" s="16"/>
      <c r="I671" s="26"/>
      <c r="J671" s="16"/>
      <c r="K671" s="26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spans="1:31" ht="17.25" customHeight="1" x14ac:dyDescent="0.25">
      <c r="A672" s="15"/>
      <c r="B672" s="15"/>
      <c r="C672" s="16"/>
      <c r="D672" s="15"/>
      <c r="E672" s="26"/>
      <c r="F672" s="16"/>
      <c r="G672" s="26"/>
      <c r="H672" s="16"/>
      <c r="I672" s="26"/>
      <c r="J672" s="16"/>
      <c r="K672" s="26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spans="1:31" ht="17.25" customHeight="1" x14ac:dyDescent="0.25">
      <c r="A673" s="15"/>
      <c r="B673" s="15"/>
      <c r="C673" s="16"/>
      <c r="D673" s="15"/>
      <c r="E673" s="26"/>
      <c r="F673" s="16"/>
      <c r="G673" s="26"/>
      <c r="H673" s="16"/>
      <c r="I673" s="26"/>
      <c r="J673" s="16"/>
      <c r="K673" s="26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spans="1:31" ht="17.25" customHeight="1" x14ac:dyDescent="0.25">
      <c r="A674" s="15"/>
      <c r="B674" s="15"/>
      <c r="C674" s="16"/>
      <c r="D674" s="15"/>
      <c r="E674" s="26"/>
      <c r="F674" s="16"/>
      <c r="G674" s="26"/>
      <c r="H674" s="16"/>
      <c r="I674" s="26"/>
      <c r="J674" s="16"/>
      <c r="K674" s="26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spans="1:31" ht="17.25" customHeight="1" x14ac:dyDescent="0.25">
      <c r="A675" s="15"/>
      <c r="B675" s="15"/>
      <c r="C675" s="16"/>
      <c r="D675" s="15"/>
      <c r="E675" s="26"/>
      <c r="F675" s="16"/>
      <c r="G675" s="26"/>
      <c r="H675" s="16"/>
      <c r="I675" s="26"/>
      <c r="J675" s="16"/>
      <c r="K675" s="26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spans="1:31" ht="17.25" customHeight="1" x14ac:dyDescent="0.25">
      <c r="A676" s="15"/>
      <c r="B676" s="15"/>
      <c r="C676" s="16"/>
      <c r="D676" s="15"/>
      <c r="E676" s="26"/>
      <c r="F676" s="16"/>
      <c r="G676" s="26"/>
      <c r="H676" s="16"/>
      <c r="I676" s="26"/>
      <c r="J676" s="16"/>
      <c r="K676" s="26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spans="1:31" ht="17.25" customHeight="1" x14ac:dyDescent="0.25">
      <c r="A677" s="15"/>
      <c r="B677" s="15"/>
      <c r="C677" s="16"/>
      <c r="D677" s="15"/>
      <c r="E677" s="26"/>
      <c r="F677" s="16"/>
      <c r="G677" s="26"/>
      <c r="H677" s="16"/>
      <c r="I677" s="26"/>
      <c r="J677" s="16"/>
      <c r="K677" s="26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spans="1:31" ht="17.25" customHeight="1" x14ac:dyDescent="0.25">
      <c r="A678" s="15"/>
      <c r="B678" s="15"/>
      <c r="C678" s="16"/>
      <c r="D678" s="15"/>
      <c r="E678" s="26"/>
      <c r="F678" s="16"/>
      <c r="G678" s="26"/>
      <c r="H678" s="16"/>
      <c r="I678" s="26"/>
      <c r="J678" s="16"/>
      <c r="K678" s="26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spans="1:31" ht="17.25" customHeight="1" x14ac:dyDescent="0.25">
      <c r="A679" s="15"/>
      <c r="B679" s="15"/>
      <c r="C679" s="16"/>
      <c r="D679" s="15"/>
      <c r="E679" s="26"/>
      <c r="F679" s="16"/>
      <c r="G679" s="26"/>
      <c r="H679" s="16"/>
      <c r="I679" s="26"/>
      <c r="J679" s="16"/>
      <c r="K679" s="26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spans="1:31" ht="17.25" customHeight="1" x14ac:dyDescent="0.25">
      <c r="A680" s="15"/>
      <c r="B680" s="15"/>
      <c r="C680" s="16"/>
      <c r="D680" s="15"/>
      <c r="E680" s="26"/>
      <c r="F680" s="16"/>
      <c r="G680" s="26"/>
      <c r="H680" s="16"/>
      <c r="I680" s="26"/>
      <c r="J680" s="16"/>
      <c r="K680" s="26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spans="1:31" ht="17.25" customHeight="1" x14ac:dyDescent="0.25">
      <c r="A681" s="15"/>
      <c r="B681" s="15"/>
      <c r="C681" s="16"/>
      <c r="D681" s="15"/>
      <c r="E681" s="26"/>
      <c r="F681" s="16"/>
      <c r="G681" s="26"/>
      <c r="H681" s="16"/>
      <c r="I681" s="26"/>
      <c r="J681" s="16"/>
      <c r="K681" s="26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spans="1:31" ht="17.25" customHeight="1" x14ac:dyDescent="0.25">
      <c r="A682" s="15"/>
      <c r="B682" s="15"/>
      <c r="C682" s="16"/>
      <c r="D682" s="15"/>
      <c r="E682" s="26"/>
      <c r="F682" s="16"/>
      <c r="G682" s="26"/>
      <c r="H682" s="16"/>
      <c r="I682" s="26"/>
      <c r="J682" s="16"/>
      <c r="K682" s="26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spans="1:31" ht="17.25" customHeight="1" x14ac:dyDescent="0.25">
      <c r="A683" s="15"/>
      <c r="B683" s="15"/>
      <c r="C683" s="16"/>
      <c r="D683" s="15"/>
      <c r="E683" s="26"/>
      <c r="F683" s="16"/>
      <c r="G683" s="26"/>
      <c r="H683" s="16"/>
      <c r="I683" s="26"/>
      <c r="J683" s="16"/>
      <c r="K683" s="26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spans="1:31" ht="17.25" customHeight="1" x14ac:dyDescent="0.25">
      <c r="A684" s="15"/>
      <c r="B684" s="15"/>
      <c r="C684" s="16"/>
      <c r="D684" s="15"/>
      <c r="E684" s="26"/>
      <c r="F684" s="16"/>
      <c r="G684" s="26"/>
      <c r="H684" s="16"/>
      <c r="I684" s="26"/>
      <c r="J684" s="16"/>
      <c r="K684" s="26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spans="1:31" ht="17.25" customHeight="1" x14ac:dyDescent="0.25">
      <c r="A685" s="15"/>
      <c r="B685" s="15"/>
      <c r="C685" s="16"/>
      <c r="D685" s="15"/>
      <c r="E685" s="26"/>
      <c r="F685" s="16"/>
      <c r="G685" s="26"/>
      <c r="H685" s="16"/>
      <c r="I685" s="26"/>
      <c r="J685" s="16"/>
      <c r="K685" s="26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spans="1:31" ht="17.25" customHeight="1" x14ac:dyDescent="0.25">
      <c r="A686" s="15"/>
      <c r="B686" s="15"/>
      <c r="C686" s="16"/>
      <c r="D686" s="15"/>
      <c r="E686" s="26"/>
      <c r="F686" s="16"/>
      <c r="G686" s="26"/>
      <c r="H686" s="16"/>
      <c r="I686" s="26"/>
      <c r="J686" s="16"/>
      <c r="K686" s="26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spans="1:31" ht="17.25" customHeight="1" x14ac:dyDescent="0.25">
      <c r="A687" s="15"/>
      <c r="B687" s="15"/>
      <c r="C687" s="16"/>
      <c r="D687" s="15"/>
      <c r="E687" s="26"/>
      <c r="F687" s="16"/>
      <c r="G687" s="26"/>
      <c r="H687" s="16"/>
      <c r="I687" s="26"/>
      <c r="J687" s="16"/>
      <c r="K687" s="26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spans="1:31" ht="17.25" customHeight="1" x14ac:dyDescent="0.25">
      <c r="A688" s="15"/>
      <c r="B688" s="15"/>
      <c r="C688" s="16"/>
      <c r="D688" s="15"/>
      <c r="E688" s="26"/>
      <c r="F688" s="16"/>
      <c r="G688" s="26"/>
      <c r="H688" s="16"/>
      <c r="I688" s="26"/>
      <c r="J688" s="16"/>
      <c r="K688" s="26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spans="1:31" ht="17.25" customHeight="1" x14ac:dyDescent="0.25">
      <c r="A689" s="15"/>
      <c r="B689" s="15"/>
      <c r="C689" s="16"/>
      <c r="D689" s="15"/>
      <c r="E689" s="26"/>
      <c r="F689" s="16"/>
      <c r="G689" s="26"/>
      <c r="H689" s="16"/>
      <c r="I689" s="26"/>
      <c r="J689" s="16"/>
      <c r="K689" s="26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spans="1:31" ht="17.25" customHeight="1" x14ac:dyDescent="0.25">
      <c r="A690" s="15"/>
      <c r="B690" s="15"/>
      <c r="C690" s="16"/>
      <c r="D690" s="15"/>
      <c r="E690" s="26"/>
      <c r="F690" s="16"/>
      <c r="G690" s="26"/>
      <c r="H690" s="16"/>
      <c r="I690" s="26"/>
      <c r="J690" s="16"/>
      <c r="K690" s="26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spans="1:31" ht="17.25" customHeight="1" x14ac:dyDescent="0.25">
      <c r="A691" s="15"/>
      <c r="B691" s="15"/>
      <c r="C691" s="16"/>
      <c r="D691" s="15"/>
      <c r="E691" s="26"/>
      <c r="F691" s="16"/>
      <c r="G691" s="26"/>
      <c r="H691" s="16"/>
      <c r="I691" s="26"/>
      <c r="J691" s="16"/>
      <c r="K691" s="26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spans="1:31" ht="17.25" customHeight="1" x14ac:dyDescent="0.25">
      <c r="A692" s="15"/>
      <c r="B692" s="15"/>
      <c r="C692" s="16"/>
      <c r="D692" s="15"/>
      <c r="E692" s="26"/>
      <c r="F692" s="16"/>
      <c r="G692" s="26"/>
      <c r="H692" s="16"/>
      <c r="I692" s="26"/>
      <c r="J692" s="16"/>
      <c r="K692" s="26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spans="1:31" ht="17.25" customHeight="1" x14ac:dyDescent="0.25">
      <c r="A693" s="15"/>
      <c r="B693" s="15"/>
      <c r="C693" s="16"/>
      <c r="D693" s="15"/>
      <c r="E693" s="26"/>
      <c r="F693" s="16"/>
      <c r="G693" s="26"/>
      <c r="H693" s="16"/>
      <c r="I693" s="26"/>
      <c r="J693" s="16"/>
      <c r="K693" s="26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spans="1:31" ht="17.25" customHeight="1" x14ac:dyDescent="0.25">
      <c r="A694" s="15"/>
      <c r="B694" s="15"/>
      <c r="C694" s="16"/>
      <c r="D694" s="15"/>
      <c r="E694" s="26"/>
      <c r="F694" s="16"/>
      <c r="G694" s="26"/>
      <c r="H694" s="16"/>
      <c r="I694" s="26"/>
      <c r="J694" s="16"/>
      <c r="K694" s="26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spans="1:31" ht="17.25" customHeight="1" x14ac:dyDescent="0.25">
      <c r="A695" s="15"/>
      <c r="B695" s="15"/>
      <c r="C695" s="16"/>
      <c r="D695" s="15"/>
      <c r="E695" s="26"/>
      <c r="F695" s="16"/>
      <c r="G695" s="26"/>
      <c r="H695" s="16"/>
      <c r="I695" s="26"/>
      <c r="J695" s="16"/>
      <c r="K695" s="26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spans="1:31" ht="17.25" customHeight="1" x14ac:dyDescent="0.25">
      <c r="A696" s="15"/>
      <c r="B696" s="15"/>
      <c r="C696" s="16"/>
      <c r="D696" s="15"/>
      <c r="E696" s="26"/>
      <c r="F696" s="16"/>
      <c r="G696" s="26"/>
      <c r="H696" s="16"/>
      <c r="I696" s="26"/>
      <c r="J696" s="16"/>
      <c r="K696" s="26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spans="1:31" ht="17.25" customHeight="1" x14ac:dyDescent="0.25">
      <c r="A697" s="15"/>
      <c r="B697" s="15"/>
      <c r="C697" s="16"/>
      <c r="D697" s="15"/>
      <c r="E697" s="26"/>
      <c r="F697" s="16"/>
      <c r="G697" s="26"/>
      <c r="H697" s="16"/>
      <c r="I697" s="26"/>
      <c r="J697" s="16"/>
      <c r="K697" s="26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spans="1:31" ht="17.25" customHeight="1" x14ac:dyDescent="0.25">
      <c r="A698" s="15"/>
      <c r="B698" s="15"/>
      <c r="C698" s="16"/>
      <c r="D698" s="15"/>
      <c r="E698" s="26"/>
      <c r="F698" s="16"/>
      <c r="G698" s="26"/>
      <c r="H698" s="16"/>
      <c r="I698" s="26"/>
      <c r="J698" s="16"/>
      <c r="K698" s="26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spans="1:31" ht="17.25" customHeight="1" x14ac:dyDescent="0.25">
      <c r="A699" s="15"/>
      <c r="B699" s="15"/>
      <c r="C699" s="16"/>
      <c r="D699" s="15"/>
      <c r="E699" s="26"/>
      <c r="F699" s="16"/>
      <c r="G699" s="26"/>
      <c r="H699" s="16"/>
      <c r="I699" s="26"/>
      <c r="J699" s="16"/>
      <c r="K699" s="26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spans="1:31" ht="17.25" customHeight="1" x14ac:dyDescent="0.25">
      <c r="A700" s="15"/>
      <c r="B700" s="15"/>
      <c r="C700" s="16"/>
      <c r="D700" s="15"/>
      <c r="E700" s="26"/>
      <c r="F700" s="16"/>
      <c r="G700" s="26"/>
      <c r="H700" s="16"/>
      <c r="I700" s="26"/>
      <c r="J700" s="16"/>
      <c r="K700" s="26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spans="1:31" ht="17.25" customHeight="1" x14ac:dyDescent="0.25">
      <c r="A701" s="15"/>
      <c r="B701" s="15"/>
      <c r="C701" s="16"/>
      <c r="D701" s="15"/>
      <c r="E701" s="26"/>
      <c r="F701" s="16"/>
      <c r="G701" s="26"/>
      <c r="H701" s="16"/>
      <c r="I701" s="26"/>
      <c r="J701" s="16"/>
      <c r="K701" s="26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spans="1:31" ht="17.25" customHeight="1" x14ac:dyDescent="0.25">
      <c r="A702" s="15"/>
      <c r="B702" s="15"/>
      <c r="C702" s="16"/>
      <c r="D702" s="15"/>
      <c r="E702" s="26"/>
      <c r="F702" s="16"/>
      <c r="G702" s="26"/>
      <c r="H702" s="16"/>
      <c r="I702" s="26"/>
      <c r="J702" s="16"/>
      <c r="K702" s="26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spans="1:31" ht="17.25" customHeight="1" x14ac:dyDescent="0.25">
      <c r="A703" s="15"/>
      <c r="B703" s="15"/>
      <c r="C703" s="16"/>
      <c r="D703" s="15"/>
      <c r="E703" s="26"/>
      <c r="F703" s="16"/>
      <c r="G703" s="26"/>
      <c r="H703" s="16"/>
      <c r="I703" s="26"/>
      <c r="J703" s="16"/>
      <c r="K703" s="26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spans="1:31" ht="17.25" customHeight="1" x14ac:dyDescent="0.25">
      <c r="A704" s="15"/>
      <c r="B704" s="15"/>
      <c r="C704" s="16"/>
      <c r="D704" s="15"/>
      <c r="E704" s="26"/>
      <c r="F704" s="16"/>
      <c r="G704" s="26"/>
      <c r="H704" s="16"/>
      <c r="I704" s="26"/>
      <c r="J704" s="16"/>
      <c r="K704" s="26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spans="1:31" ht="17.25" customHeight="1" x14ac:dyDescent="0.25">
      <c r="A705" s="15"/>
      <c r="B705" s="15"/>
      <c r="C705" s="16"/>
      <c r="D705" s="15"/>
      <c r="E705" s="26"/>
      <c r="F705" s="16"/>
      <c r="G705" s="26"/>
      <c r="H705" s="16"/>
      <c r="I705" s="26"/>
      <c r="J705" s="16"/>
      <c r="K705" s="26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spans="1:31" ht="17.25" customHeight="1" x14ac:dyDescent="0.25">
      <c r="A706" s="15"/>
      <c r="B706" s="15"/>
      <c r="C706" s="16"/>
      <c r="D706" s="15"/>
      <c r="E706" s="26"/>
      <c r="F706" s="16"/>
      <c r="G706" s="26"/>
      <c r="H706" s="16"/>
      <c r="I706" s="26"/>
      <c r="J706" s="16"/>
      <c r="K706" s="26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spans="1:31" ht="17.25" customHeight="1" x14ac:dyDescent="0.25">
      <c r="A707" s="15"/>
      <c r="B707" s="15"/>
      <c r="C707" s="16"/>
      <c r="D707" s="15"/>
      <c r="E707" s="26"/>
      <c r="F707" s="16"/>
      <c r="G707" s="26"/>
      <c r="H707" s="16"/>
      <c r="I707" s="26"/>
      <c r="J707" s="16"/>
      <c r="K707" s="26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spans="1:31" ht="17.25" customHeight="1" x14ac:dyDescent="0.25">
      <c r="A708" s="15"/>
      <c r="B708" s="15"/>
      <c r="C708" s="16"/>
      <c r="D708" s="15"/>
      <c r="E708" s="26"/>
      <c r="F708" s="16"/>
      <c r="G708" s="26"/>
      <c r="H708" s="16"/>
      <c r="I708" s="26"/>
      <c r="J708" s="16"/>
      <c r="K708" s="26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spans="1:31" ht="17.25" customHeight="1" x14ac:dyDescent="0.25">
      <c r="A709" s="15"/>
      <c r="B709" s="15"/>
      <c r="C709" s="16"/>
      <c r="D709" s="15"/>
      <c r="E709" s="26"/>
      <c r="F709" s="16"/>
      <c r="G709" s="26"/>
      <c r="H709" s="16"/>
      <c r="I709" s="26"/>
      <c r="J709" s="16"/>
      <c r="K709" s="26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spans="1:31" ht="17.25" customHeight="1" x14ac:dyDescent="0.25">
      <c r="A710" s="15"/>
      <c r="B710" s="15"/>
      <c r="C710" s="16"/>
      <c r="D710" s="15"/>
      <c r="E710" s="26"/>
      <c r="F710" s="16"/>
      <c r="G710" s="26"/>
      <c r="H710" s="16"/>
      <c r="I710" s="26"/>
      <c r="J710" s="16"/>
      <c r="K710" s="26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spans="1:31" ht="17.25" customHeight="1" x14ac:dyDescent="0.25">
      <c r="A711" s="15"/>
      <c r="B711" s="15"/>
      <c r="C711" s="16"/>
      <c r="D711" s="15"/>
      <c r="E711" s="26"/>
      <c r="F711" s="16"/>
      <c r="G711" s="26"/>
      <c r="H711" s="16"/>
      <c r="I711" s="26"/>
      <c r="J711" s="16"/>
      <c r="K711" s="26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spans="1:31" ht="17.25" customHeight="1" x14ac:dyDescent="0.25">
      <c r="A712" s="15"/>
      <c r="B712" s="15"/>
      <c r="C712" s="16"/>
      <c r="D712" s="15"/>
      <c r="E712" s="26"/>
      <c r="F712" s="16"/>
      <c r="G712" s="26"/>
      <c r="H712" s="16"/>
      <c r="I712" s="26"/>
      <c r="J712" s="16"/>
      <c r="K712" s="26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spans="1:31" ht="17.25" customHeight="1" x14ac:dyDescent="0.25">
      <c r="A713" s="15"/>
      <c r="B713" s="15"/>
      <c r="C713" s="16"/>
      <c r="D713" s="15"/>
      <c r="E713" s="26"/>
      <c r="F713" s="16"/>
      <c r="G713" s="26"/>
      <c r="H713" s="16"/>
      <c r="I713" s="26"/>
      <c r="J713" s="16"/>
      <c r="K713" s="26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spans="1:31" ht="17.25" customHeight="1" x14ac:dyDescent="0.25">
      <c r="A714" s="15"/>
      <c r="B714" s="15"/>
      <c r="C714" s="16"/>
      <c r="D714" s="15"/>
      <c r="E714" s="26"/>
      <c r="F714" s="16"/>
      <c r="G714" s="26"/>
      <c r="H714" s="16"/>
      <c r="I714" s="26"/>
      <c r="J714" s="16"/>
      <c r="K714" s="26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spans="1:31" ht="17.25" customHeight="1" x14ac:dyDescent="0.25">
      <c r="A715" s="15"/>
      <c r="B715" s="15"/>
      <c r="C715" s="16"/>
      <c r="D715" s="15"/>
      <c r="E715" s="26"/>
      <c r="F715" s="16"/>
      <c r="G715" s="26"/>
      <c r="H715" s="16"/>
      <c r="I715" s="26"/>
      <c r="J715" s="16"/>
      <c r="K715" s="26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spans="1:31" ht="17.25" customHeight="1" x14ac:dyDescent="0.25">
      <c r="A716" s="15"/>
      <c r="B716" s="15"/>
      <c r="C716" s="16"/>
      <c r="D716" s="15"/>
      <c r="E716" s="26"/>
      <c r="F716" s="16"/>
      <c r="G716" s="26"/>
      <c r="H716" s="16"/>
      <c r="I716" s="26"/>
      <c r="J716" s="16"/>
      <c r="K716" s="26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spans="1:31" ht="17.25" customHeight="1" x14ac:dyDescent="0.25">
      <c r="A717" s="15"/>
      <c r="B717" s="15"/>
      <c r="C717" s="16"/>
      <c r="D717" s="15"/>
      <c r="E717" s="26"/>
      <c r="F717" s="16"/>
      <c r="G717" s="26"/>
      <c r="H717" s="16"/>
      <c r="I717" s="26"/>
      <c r="J717" s="16"/>
      <c r="K717" s="26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spans="1:31" ht="17.25" customHeight="1" x14ac:dyDescent="0.25">
      <c r="A718" s="15"/>
      <c r="B718" s="15"/>
      <c r="C718" s="16"/>
      <c r="D718" s="15"/>
      <c r="E718" s="26"/>
      <c r="F718" s="16"/>
      <c r="G718" s="26"/>
      <c r="H718" s="16"/>
      <c r="I718" s="26"/>
      <c r="J718" s="16"/>
      <c r="K718" s="26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spans="1:31" ht="17.25" customHeight="1" x14ac:dyDescent="0.25">
      <c r="A719" s="15"/>
      <c r="B719" s="15"/>
      <c r="C719" s="16"/>
      <c r="D719" s="15"/>
      <c r="E719" s="26"/>
      <c r="F719" s="16"/>
      <c r="G719" s="26"/>
      <c r="H719" s="16"/>
      <c r="I719" s="26"/>
      <c r="J719" s="16"/>
      <c r="K719" s="26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spans="1:31" ht="17.25" customHeight="1" x14ac:dyDescent="0.25">
      <c r="A720" s="15"/>
      <c r="B720" s="15"/>
      <c r="C720" s="16"/>
      <c r="D720" s="15"/>
      <c r="E720" s="26"/>
      <c r="F720" s="16"/>
      <c r="G720" s="26"/>
      <c r="H720" s="16"/>
      <c r="I720" s="26"/>
      <c r="J720" s="16"/>
      <c r="K720" s="26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spans="1:31" ht="17.25" customHeight="1" x14ac:dyDescent="0.25">
      <c r="A721" s="15"/>
      <c r="B721" s="15"/>
      <c r="C721" s="16"/>
      <c r="D721" s="15"/>
      <c r="E721" s="26"/>
      <c r="F721" s="16"/>
      <c r="G721" s="26"/>
      <c r="H721" s="16"/>
      <c r="I721" s="26"/>
      <c r="J721" s="16"/>
      <c r="K721" s="26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spans="1:31" ht="17.25" customHeight="1" x14ac:dyDescent="0.25">
      <c r="A722" s="15"/>
      <c r="B722" s="15"/>
      <c r="C722" s="16"/>
      <c r="D722" s="15"/>
      <c r="E722" s="26"/>
      <c r="F722" s="16"/>
      <c r="G722" s="26"/>
      <c r="H722" s="16"/>
      <c r="I722" s="26"/>
      <c r="J722" s="16"/>
      <c r="K722" s="26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spans="1:31" ht="17.25" customHeight="1" x14ac:dyDescent="0.25">
      <c r="A723" s="15"/>
      <c r="B723" s="15"/>
      <c r="C723" s="16"/>
      <c r="D723" s="15"/>
      <c r="E723" s="26"/>
      <c r="F723" s="16"/>
      <c r="G723" s="26"/>
      <c r="H723" s="16"/>
      <c r="I723" s="26"/>
      <c r="J723" s="16"/>
      <c r="K723" s="26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spans="1:31" ht="17.25" customHeight="1" x14ac:dyDescent="0.25">
      <c r="A724" s="15"/>
      <c r="B724" s="15"/>
      <c r="C724" s="16"/>
      <c r="D724" s="15"/>
      <c r="E724" s="26"/>
      <c r="F724" s="16"/>
      <c r="G724" s="26"/>
      <c r="H724" s="16"/>
      <c r="I724" s="26"/>
      <c r="J724" s="16"/>
      <c r="K724" s="26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spans="1:31" ht="17.25" customHeight="1" x14ac:dyDescent="0.25">
      <c r="A725" s="15"/>
      <c r="B725" s="15"/>
      <c r="C725" s="16"/>
      <c r="D725" s="15"/>
      <c r="E725" s="26"/>
      <c r="F725" s="16"/>
      <c r="G725" s="26"/>
      <c r="H725" s="16"/>
      <c r="I725" s="26"/>
      <c r="J725" s="16"/>
      <c r="K725" s="26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spans="1:31" ht="17.25" customHeight="1" x14ac:dyDescent="0.25">
      <c r="A726" s="15"/>
      <c r="B726" s="15"/>
      <c r="C726" s="16"/>
      <c r="D726" s="15"/>
      <c r="E726" s="26"/>
      <c r="F726" s="16"/>
      <c r="G726" s="26"/>
      <c r="H726" s="16"/>
      <c r="I726" s="26"/>
      <c r="J726" s="16"/>
      <c r="K726" s="26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spans="1:31" ht="17.25" customHeight="1" x14ac:dyDescent="0.25">
      <c r="A727" s="15"/>
      <c r="B727" s="15"/>
      <c r="C727" s="16"/>
      <c r="D727" s="15"/>
      <c r="E727" s="26"/>
      <c r="F727" s="16"/>
      <c r="G727" s="26"/>
      <c r="H727" s="16"/>
      <c r="I727" s="26"/>
      <c r="J727" s="16"/>
      <c r="K727" s="26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spans="1:31" ht="17.25" customHeight="1" x14ac:dyDescent="0.25">
      <c r="A728" s="15"/>
      <c r="B728" s="15"/>
      <c r="C728" s="16"/>
      <c r="D728" s="15"/>
      <c r="E728" s="26"/>
      <c r="F728" s="16"/>
      <c r="G728" s="26"/>
      <c r="H728" s="16"/>
      <c r="I728" s="26"/>
      <c r="J728" s="16"/>
      <c r="K728" s="26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spans="1:31" ht="17.25" customHeight="1" x14ac:dyDescent="0.25">
      <c r="A729" s="15"/>
      <c r="B729" s="15"/>
      <c r="C729" s="16"/>
      <c r="D729" s="15"/>
      <c r="E729" s="26"/>
      <c r="F729" s="16"/>
      <c r="G729" s="26"/>
      <c r="H729" s="16"/>
      <c r="I729" s="26"/>
      <c r="J729" s="16"/>
      <c r="K729" s="26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spans="1:31" ht="17.25" customHeight="1" x14ac:dyDescent="0.25">
      <c r="A730" s="15"/>
      <c r="B730" s="15"/>
      <c r="C730" s="16"/>
      <c r="D730" s="15"/>
      <c r="E730" s="26"/>
      <c r="F730" s="16"/>
      <c r="G730" s="26"/>
      <c r="H730" s="16"/>
      <c r="I730" s="26"/>
      <c r="J730" s="16"/>
      <c r="K730" s="26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spans="1:31" ht="17.25" customHeight="1" x14ac:dyDescent="0.25">
      <c r="A731" s="15"/>
      <c r="B731" s="15"/>
      <c r="C731" s="16"/>
      <c r="D731" s="15"/>
      <c r="E731" s="26"/>
      <c r="F731" s="16"/>
      <c r="G731" s="26"/>
      <c r="H731" s="16"/>
      <c r="I731" s="26"/>
      <c r="J731" s="16"/>
      <c r="K731" s="26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spans="1:31" ht="17.25" customHeight="1" x14ac:dyDescent="0.25">
      <c r="A732" s="15"/>
      <c r="B732" s="15"/>
      <c r="C732" s="16"/>
      <c r="D732" s="15"/>
      <c r="E732" s="26"/>
      <c r="F732" s="16"/>
      <c r="G732" s="26"/>
      <c r="H732" s="16"/>
      <c r="I732" s="26"/>
      <c r="J732" s="16"/>
      <c r="K732" s="26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spans="1:31" ht="17.25" customHeight="1" x14ac:dyDescent="0.25">
      <c r="A733" s="15"/>
      <c r="B733" s="15"/>
      <c r="C733" s="16"/>
      <c r="D733" s="15"/>
      <c r="E733" s="26"/>
      <c r="F733" s="16"/>
      <c r="G733" s="26"/>
      <c r="H733" s="16"/>
      <c r="I733" s="26"/>
      <c r="J733" s="16"/>
      <c r="K733" s="26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spans="1:31" ht="17.25" customHeight="1" x14ac:dyDescent="0.25">
      <c r="A734" s="15"/>
      <c r="B734" s="15"/>
      <c r="C734" s="16"/>
      <c r="D734" s="15"/>
      <c r="E734" s="26"/>
      <c r="F734" s="16"/>
      <c r="G734" s="26"/>
      <c r="H734" s="16"/>
      <c r="I734" s="26"/>
      <c r="J734" s="16"/>
      <c r="K734" s="26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spans="1:31" ht="17.25" customHeight="1" x14ac:dyDescent="0.25">
      <c r="A735" s="15"/>
      <c r="B735" s="15"/>
      <c r="C735" s="16"/>
      <c r="D735" s="15"/>
      <c r="E735" s="26"/>
      <c r="F735" s="16"/>
      <c r="G735" s="26"/>
      <c r="H735" s="16"/>
      <c r="I735" s="26"/>
      <c r="J735" s="16"/>
      <c r="K735" s="26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spans="1:31" ht="17.25" customHeight="1" x14ac:dyDescent="0.25">
      <c r="A736" s="15"/>
      <c r="B736" s="15"/>
      <c r="C736" s="16"/>
      <c r="D736" s="15"/>
      <c r="E736" s="26"/>
      <c r="F736" s="16"/>
      <c r="G736" s="26"/>
      <c r="H736" s="16"/>
      <c r="I736" s="26"/>
      <c r="J736" s="16"/>
      <c r="K736" s="26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spans="1:31" ht="17.25" customHeight="1" x14ac:dyDescent="0.25">
      <c r="A737" s="15"/>
      <c r="B737" s="15"/>
      <c r="C737" s="16"/>
      <c r="D737" s="15"/>
      <c r="E737" s="26"/>
      <c r="F737" s="16"/>
      <c r="G737" s="26"/>
      <c r="H737" s="16"/>
      <c r="I737" s="26"/>
      <c r="J737" s="16"/>
      <c r="K737" s="26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spans="1:31" ht="17.25" customHeight="1" x14ac:dyDescent="0.25">
      <c r="A738" s="15"/>
      <c r="B738" s="15"/>
      <c r="C738" s="16"/>
      <c r="D738" s="15"/>
      <c r="E738" s="26"/>
      <c r="F738" s="16"/>
      <c r="G738" s="26"/>
      <c r="H738" s="16"/>
      <c r="I738" s="26"/>
      <c r="J738" s="16"/>
      <c r="K738" s="26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spans="1:31" ht="17.25" customHeight="1" x14ac:dyDescent="0.25">
      <c r="A739" s="15"/>
      <c r="B739" s="15"/>
      <c r="C739" s="16"/>
      <c r="D739" s="15"/>
      <c r="E739" s="26"/>
      <c r="F739" s="16"/>
      <c r="G739" s="26"/>
      <c r="H739" s="16"/>
      <c r="I739" s="26"/>
      <c r="J739" s="16"/>
      <c r="K739" s="26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spans="1:31" ht="17.25" customHeight="1" x14ac:dyDescent="0.25">
      <c r="A740" s="15"/>
      <c r="B740" s="15"/>
      <c r="C740" s="16"/>
      <c r="D740" s="15"/>
      <c r="E740" s="26"/>
      <c r="F740" s="16"/>
      <c r="G740" s="26"/>
      <c r="H740" s="16"/>
      <c r="I740" s="26"/>
      <c r="J740" s="16"/>
      <c r="K740" s="26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spans="1:31" ht="17.25" customHeight="1" x14ac:dyDescent="0.25">
      <c r="A741" s="15"/>
      <c r="B741" s="15"/>
      <c r="C741" s="16"/>
      <c r="D741" s="15"/>
      <c r="E741" s="26"/>
      <c r="F741" s="16"/>
      <c r="G741" s="26"/>
      <c r="H741" s="16"/>
      <c r="I741" s="26"/>
      <c r="J741" s="16"/>
      <c r="K741" s="26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spans="1:31" ht="17.25" customHeight="1" x14ac:dyDescent="0.25">
      <c r="A742" s="15"/>
      <c r="B742" s="15"/>
      <c r="C742" s="16"/>
      <c r="D742" s="15"/>
      <c r="E742" s="26"/>
      <c r="F742" s="16"/>
      <c r="G742" s="26"/>
      <c r="H742" s="16"/>
      <c r="I742" s="26"/>
      <c r="J742" s="16"/>
      <c r="K742" s="26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spans="1:31" ht="17.25" customHeight="1" x14ac:dyDescent="0.25">
      <c r="A743" s="15"/>
      <c r="B743" s="15"/>
      <c r="C743" s="16"/>
      <c r="D743" s="15"/>
      <c r="E743" s="26"/>
      <c r="F743" s="16"/>
      <c r="G743" s="26"/>
      <c r="H743" s="16"/>
      <c r="I743" s="26"/>
      <c r="J743" s="16"/>
      <c r="K743" s="26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spans="1:31" ht="17.25" customHeight="1" x14ac:dyDescent="0.25">
      <c r="A744" s="15"/>
      <c r="B744" s="15"/>
      <c r="C744" s="16"/>
      <c r="D744" s="15"/>
      <c r="E744" s="26"/>
      <c r="F744" s="16"/>
      <c r="G744" s="26"/>
      <c r="H744" s="16"/>
      <c r="I744" s="26"/>
      <c r="J744" s="16"/>
      <c r="K744" s="26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spans="1:31" ht="17.25" customHeight="1" x14ac:dyDescent="0.25">
      <c r="A745" s="15"/>
      <c r="B745" s="15"/>
      <c r="C745" s="16"/>
      <c r="D745" s="15"/>
      <c r="E745" s="26"/>
      <c r="F745" s="16"/>
      <c r="G745" s="26"/>
      <c r="H745" s="16"/>
      <c r="I745" s="26"/>
      <c r="J745" s="16"/>
      <c r="K745" s="26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spans="1:31" ht="17.25" customHeight="1" x14ac:dyDescent="0.25">
      <c r="A746" s="15"/>
      <c r="B746" s="15"/>
      <c r="C746" s="16"/>
      <c r="D746" s="15"/>
      <c r="E746" s="26"/>
      <c r="F746" s="16"/>
      <c r="G746" s="26"/>
      <c r="H746" s="16"/>
      <c r="I746" s="26"/>
      <c r="J746" s="16"/>
      <c r="K746" s="26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spans="1:31" ht="17.25" customHeight="1" x14ac:dyDescent="0.25">
      <c r="A747" s="15"/>
      <c r="B747" s="15"/>
      <c r="C747" s="16"/>
      <c r="D747" s="15"/>
      <c r="E747" s="26"/>
      <c r="F747" s="16"/>
      <c r="G747" s="26"/>
      <c r="H747" s="16"/>
      <c r="I747" s="26"/>
      <c r="J747" s="16"/>
      <c r="K747" s="26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spans="1:31" ht="17.25" customHeight="1" x14ac:dyDescent="0.25">
      <c r="A748" s="15"/>
      <c r="B748" s="15"/>
      <c r="C748" s="16"/>
      <c r="D748" s="15"/>
      <c r="E748" s="26"/>
      <c r="F748" s="16"/>
      <c r="G748" s="26"/>
      <c r="H748" s="16"/>
      <c r="I748" s="26"/>
      <c r="J748" s="16"/>
      <c r="K748" s="26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spans="1:31" ht="17.25" customHeight="1" x14ac:dyDescent="0.25">
      <c r="A749" s="15"/>
      <c r="B749" s="15"/>
      <c r="C749" s="16"/>
      <c r="D749" s="15"/>
      <c r="E749" s="26"/>
      <c r="F749" s="16"/>
      <c r="G749" s="26"/>
      <c r="H749" s="16"/>
      <c r="I749" s="26"/>
      <c r="J749" s="16"/>
      <c r="K749" s="26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spans="1:31" ht="17.25" customHeight="1" x14ac:dyDescent="0.25">
      <c r="A750" s="15"/>
      <c r="B750" s="15"/>
      <c r="C750" s="16"/>
      <c r="D750" s="15"/>
      <c r="E750" s="26"/>
      <c r="F750" s="16"/>
      <c r="G750" s="26"/>
      <c r="H750" s="16"/>
      <c r="I750" s="26"/>
      <c r="J750" s="16"/>
      <c r="K750" s="26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spans="1:31" ht="17.25" customHeight="1" x14ac:dyDescent="0.25">
      <c r="A751" s="15"/>
      <c r="B751" s="15"/>
      <c r="C751" s="16"/>
      <c r="D751" s="15"/>
      <c r="E751" s="26"/>
      <c r="F751" s="16"/>
      <c r="G751" s="26"/>
      <c r="H751" s="16"/>
      <c r="I751" s="26"/>
      <c r="J751" s="16"/>
      <c r="K751" s="26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spans="1:31" ht="17.25" customHeight="1" x14ac:dyDescent="0.25">
      <c r="A752" s="15"/>
      <c r="B752" s="15"/>
      <c r="C752" s="16"/>
      <c r="D752" s="15"/>
      <c r="E752" s="26"/>
      <c r="F752" s="16"/>
      <c r="G752" s="26"/>
      <c r="H752" s="16"/>
      <c r="I752" s="26"/>
      <c r="J752" s="16"/>
      <c r="K752" s="26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spans="1:31" ht="17.25" customHeight="1" x14ac:dyDescent="0.25">
      <c r="A753" s="15"/>
      <c r="B753" s="15"/>
      <c r="C753" s="16"/>
      <c r="D753" s="15"/>
      <c r="E753" s="26"/>
      <c r="F753" s="16"/>
      <c r="G753" s="26"/>
      <c r="H753" s="16"/>
      <c r="I753" s="26"/>
      <c r="J753" s="16"/>
      <c r="K753" s="26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spans="1:31" ht="17.25" customHeight="1" x14ac:dyDescent="0.25">
      <c r="A754" s="15"/>
      <c r="B754" s="15"/>
      <c r="C754" s="16"/>
      <c r="D754" s="15"/>
      <c r="E754" s="26"/>
      <c r="F754" s="16"/>
      <c r="G754" s="26"/>
      <c r="H754" s="16"/>
      <c r="I754" s="26"/>
      <c r="J754" s="16"/>
      <c r="K754" s="26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spans="1:31" ht="17.25" customHeight="1" x14ac:dyDescent="0.25">
      <c r="A755" s="15"/>
      <c r="B755" s="15"/>
      <c r="C755" s="16"/>
      <c r="D755" s="15"/>
      <c r="E755" s="26"/>
      <c r="F755" s="16"/>
      <c r="G755" s="26"/>
      <c r="H755" s="16"/>
      <c r="I755" s="26"/>
      <c r="J755" s="16"/>
      <c r="K755" s="26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spans="1:31" ht="17.25" customHeight="1" x14ac:dyDescent="0.25">
      <c r="A756" s="15"/>
      <c r="B756" s="15"/>
      <c r="C756" s="16"/>
      <c r="D756" s="15"/>
      <c r="E756" s="26"/>
      <c r="F756" s="16"/>
      <c r="G756" s="26"/>
      <c r="H756" s="16"/>
      <c r="I756" s="26"/>
      <c r="J756" s="16"/>
      <c r="K756" s="26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spans="1:31" ht="17.25" customHeight="1" x14ac:dyDescent="0.25">
      <c r="A757" s="15"/>
      <c r="B757" s="15"/>
      <c r="C757" s="16"/>
      <c r="D757" s="15"/>
      <c r="E757" s="26"/>
      <c r="F757" s="16"/>
      <c r="G757" s="26"/>
      <c r="H757" s="16"/>
      <c r="I757" s="26"/>
      <c r="J757" s="16"/>
      <c r="K757" s="26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spans="1:31" ht="17.25" customHeight="1" x14ac:dyDescent="0.25">
      <c r="A758" s="15"/>
      <c r="B758" s="15"/>
      <c r="C758" s="16"/>
      <c r="D758" s="15"/>
      <c r="E758" s="26"/>
      <c r="F758" s="16"/>
      <c r="G758" s="26"/>
      <c r="H758" s="16"/>
      <c r="I758" s="26"/>
      <c r="J758" s="16"/>
      <c r="K758" s="26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spans="1:31" ht="17.25" customHeight="1" x14ac:dyDescent="0.25">
      <c r="A759" s="15"/>
      <c r="B759" s="15"/>
      <c r="C759" s="16"/>
      <c r="D759" s="15"/>
      <c r="E759" s="26"/>
      <c r="F759" s="16"/>
      <c r="G759" s="26"/>
      <c r="H759" s="16"/>
      <c r="I759" s="26"/>
      <c r="J759" s="16"/>
      <c r="K759" s="26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spans="1:31" ht="17.25" customHeight="1" x14ac:dyDescent="0.25">
      <c r="A760" s="15"/>
      <c r="B760" s="15"/>
      <c r="C760" s="16"/>
      <c r="D760" s="15"/>
      <c r="E760" s="26"/>
      <c r="F760" s="16"/>
      <c r="G760" s="26"/>
      <c r="H760" s="16"/>
      <c r="I760" s="26"/>
      <c r="J760" s="16"/>
      <c r="K760" s="26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spans="1:31" ht="17.25" customHeight="1" x14ac:dyDescent="0.25">
      <c r="A761" s="15"/>
      <c r="B761" s="15"/>
      <c r="C761" s="16"/>
      <c r="D761" s="15"/>
      <c r="E761" s="26"/>
      <c r="F761" s="16"/>
      <c r="G761" s="26"/>
      <c r="H761" s="16"/>
      <c r="I761" s="26"/>
      <c r="J761" s="16"/>
      <c r="K761" s="26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spans="1:31" ht="17.25" customHeight="1" x14ac:dyDescent="0.25">
      <c r="A762" s="15"/>
      <c r="B762" s="15"/>
      <c r="C762" s="16"/>
      <c r="D762" s="15"/>
      <c r="E762" s="26"/>
      <c r="F762" s="16"/>
      <c r="G762" s="26"/>
      <c r="H762" s="16"/>
      <c r="I762" s="26"/>
      <c r="J762" s="16"/>
      <c r="K762" s="26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spans="1:31" ht="17.25" customHeight="1" x14ac:dyDescent="0.25">
      <c r="A763" s="15"/>
      <c r="B763" s="15"/>
      <c r="C763" s="16"/>
      <c r="D763" s="15"/>
      <c r="E763" s="26"/>
      <c r="F763" s="16"/>
      <c r="G763" s="26"/>
      <c r="H763" s="16"/>
      <c r="I763" s="26"/>
      <c r="J763" s="16"/>
      <c r="K763" s="26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spans="1:31" ht="17.25" customHeight="1" x14ac:dyDescent="0.25">
      <c r="A764" s="15"/>
      <c r="B764" s="15"/>
      <c r="C764" s="16"/>
      <c r="D764" s="15"/>
      <c r="E764" s="26"/>
      <c r="F764" s="16"/>
      <c r="G764" s="26"/>
      <c r="H764" s="16"/>
      <c r="I764" s="26"/>
      <c r="J764" s="16"/>
      <c r="K764" s="26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spans="1:31" ht="17.25" customHeight="1" x14ac:dyDescent="0.25">
      <c r="A765" s="15"/>
      <c r="B765" s="15"/>
      <c r="C765" s="16"/>
      <c r="D765" s="15"/>
      <c r="E765" s="26"/>
      <c r="F765" s="16"/>
      <c r="G765" s="26"/>
      <c r="H765" s="16"/>
      <c r="I765" s="26"/>
      <c r="J765" s="16"/>
      <c r="K765" s="26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spans="1:31" ht="17.25" customHeight="1" x14ac:dyDescent="0.25">
      <c r="A766" s="15"/>
      <c r="B766" s="15"/>
      <c r="C766" s="16"/>
      <c r="D766" s="15"/>
      <c r="E766" s="26"/>
      <c r="F766" s="16"/>
      <c r="G766" s="26"/>
      <c r="H766" s="16"/>
      <c r="I766" s="26"/>
      <c r="J766" s="16"/>
      <c r="K766" s="26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spans="1:31" ht="17.25" customHeight="1" x14ac:dyDescent="0.25">
      <c r="A767" s="15"/>
      <c r="B767" s="15"/>
      <c r="C767" s="16"/>
      <c r="D767" s="15"/>
      <c r="E767" s="26"/>
      <c r="F767" s="16"/>
      <c r="G767" s="26"/>
      <c r="H767" s="16"/>
      <c r="I767" s="26"/>
      <c r="J767" s="16"/>
      <c r="K767" s="26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spans="1:31" ht="17.25" customHeight="1" x14ac:dyDescent="0.25">
      <c r="A768" s="15"/>
      <c r="B768" s="15"/>
      <c r="C768" s="16"/>
      <c r="D768" s="15"/>
      <c r="E768" s="26"/>
      <c r="F768" s="16"/>
      <c r="G768" s="26"/>
      <c r="H768" s="16"/>
      <c r="I768" s="26"/>
      <c r="J768" s="16"/>
      <c r="K768" s="26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spans="1:31" ht="17.25" customHeight="1" x14ac:dyDescent="0.25">
      <c r="A769" s="15"/>
      <c r="B769" s="15"/>
      <c r="C769" s="16"/>
      <c r="D769" s="15"/>
      <c r="E769" s="26"/>
      <c r="F769" s="16"/>
      <c r="G769" s="26"/>
      <c r="H769" s="16"/>
      <c r="I769" s="26"/>
      <c r="J769" s="16"/>
      <c r="K769" s="26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spans="1:31" ht="17.25" customHeight="1" x14ac:dyDescent="0.25">
      <c r="A770" s="15"/>
      <c r="B770" s="15"/>
      <c r="C770" s="16"/>
      <c r="D770" s="15"/>
      <c r="E770" s="26"/>
      <c r="F770" s="16"/>
      <c r="G770" s="26"/>
      <c r="H770" s="16"/>
      <c r="I770" s="26"/>
      <c r="J770" s="16"/>
      <c r="K770" s="26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spans="1:31" ht="17.25" customHeight="1" x14ac:dyDescent="0.25">
      <c r="A771" s="15"/>
      <c r="B771" s="15"/>
      <c r="C771" s="16"/>
      <c r="D771" s="15"/>
      <c r="E771" s="26"/>
      <c r="F771" s="16"/>
      <c r="G771" s="26"/>
      <c r="H771" s="16"/>
      <c r="I771" s="26"/>
      <c r="J771" s="16"/>
      <c r="K771" s="26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spans="1:31" ht="17.25" customHeight="1" x14ac:dyDescent="0.25">
      <c r="A772" s="15"/>
      <c r="B772" s="15"/>
      <c r="C772" s="16"/>
      <c r="D772" s="15"/>
      <c r="E772" s="26"/>
      <c r="F772" s="16"/>
      <c r="G772" s="26"/>
      <c r="H772" s="16"/>
      <c r="I772" s="26"/>
      <c r="J772" s="16"/>
      <c r="K772" s="26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spans="1:31" ht="17.25" customHeight="1" x14ac:dyDescent="0.25">
      <c r="A773" s="15"/>
      <c r="B773" s="15"/>
      <c r="C773" s="16"/>
      <c r="D773" s="15"/>
      <c r="E773" s="26"/>
      <c r="F773" s="16"/>
      <c r="G773" s="26"/>
      <c r="H773" s="16"/>
      <c r="I773" s="26"/>
      <c r="J773" s="16"/>
      <c r="K773" s="26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spans="1:31" ht="17.25" customHeight="1" x14ac:dyDescent="0.25">
      <c r="A774" s="15"/>
      <c r="B774" s="15"/>
      <c r="C774" s="16"/>
      <c r="D774" s="15"/>
      <c r="E774" s="26"/>
      <c r="F774" s="16"/>
      <c r="G774" s="26"/>
      <c r="H774" s="16"/>
      <c r="I774" s="26"/>
      <c r="J774" s="16"/>
      <c r="K774" s="26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spans="1:31" ht="17.25" customHeight="1" x14ac:dyDescent="0.25">
      <c r="A775" s="15"/>
      <c r="B775" s="15"/>
      <c r="C775" s="16"/>
      <c r="D775" s="15"/>
      <c r="E775" s="26"/>
      <c r="F775" s="16"/>
      <c r="G775" s="26"/>
      <c r="H775" s="16"/>
      <c r="I775" s="26"/>
      <c r="J775" s="16"/>
      <c r="K775" s="26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spans="1:31" ht="17.25" customHeight="1" x14ac:dyDescent="0.25">
      <c r="A776" s="15"/>
      <c r="B776" s="15"/>
      <c r="C776" s="16"/>
      <c r="D776" s="15"/>
      <c r="E776" s="26"/>
      <c r="F776" s="16"/>
      <c r="G776" s="26"/>
      <c r="H776" s="16"/>
      <c r="I776" s="26"/>
      <c r="J776" s="16"/>
      <c r="K776" s="26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spans="1:31" ht="17.25" customHeight="1" x14ac:dyDescent="0.25">
      <c r="A777" s="15"/>
      <c r="B777" s="15"/>
      <c r="C777" s="16"/>
      <c r="D777" s="15"/>
      <c r="E777" s="26"/>
      <c r="F777" s="16"/>
      <c r="G777" s="26"/>
      <c r="H777" s="16"/>
      <c r="I777" s="26"/>
      <c r="J777" s="16"/>
      <c r="K777" s="26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spans="1:31" ht="17.25" customHeight="1" x14ac:dyDescent="0.25">
      <c r="A778" s="15"/>
      <c r="B778" s="15"/>
      <c r="C778" s="16"/>
      <c r="D778" s="15"/>
      <c r="E778" s="26"/>
      <c r="F778" s="16"/>
      <c r="G778" s="26"/>
      <c r="H778" s="16"/>
      <c r="I778" s="26"/>
      <c r="J778" s="16"/>
      <c r="K778" s="26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spans="1:31" ht="17.25" customHeight="1" x14ac:dyDescent="0.25">
      <c r="A779" s="15"/>
      <c r="B779" s="15"/>
      <c r="C779" s="16"/>
      <c r="D779" s="15"/>
      <c r="E779" s="26"/>
      <c r="F779" s="16"/>
      <c r="G779" s="26"/>
      <c r="H779" s="16"/>
      <c r="I779" s="26"/>
      <c r="J779" s="16"/>
      <c r="K779" s="26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spans="1:31" ht="17.25" customHeight="1" x14ac:dyDescent="0.25">
      <c r="A780" s="15"/>
      <c r="B780" s="15"/>
      <c r="C780" s="16"/>
      <c r="D780" s="15"/>
      <c r="E780" s="26"/>
      <c r="F780" s="16"/>
      <c r="G780" s="26"/>
      <c r="H780" s="16"/>
      <c r="I780" s="26"/>
      <c r="J780" s="16"/>
      <c r="K780" s="26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spans="1:31" ht="17.25" customHeight="1" x14ac:dyDescent="0.25">
      <c r="A781" s="15"/>
      <c r="B781" s="15"/>
      <c r="C781" s="16"/>
      <c r="D781" s="15"/>
      <c r="E781" s="26"/>
      <c r="F781" s="16"/>
      <c r="G781" s="26"/>
      <c r="H781" s="16"/>
      <c r="I781" s="26"/>
      <c r="J781" s="16"/>
      <c r="K781" s="26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spans="1:31" ht="17.25" customHeight="1" x14ac:dyDescent="0.25">
      <c r="A782" s="15"/>
      <c r="B782" s="15"/>
      <c r="C782" s="16"/>
      <c r="D782" s="15"/>
      <c r="E782" s="26"/>
      <c r="F782" s="16"/>
      <c r="G782" s="26"/>
      <c r="H782" s="16"/>
      <c r="I782" s="26"/>
      <c r="J782" s="16"/>
      <c r="K782" s="26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spans="1:31" ht="17.25" customHeight="1" x14ac:dyDescent="0.25">
      <c r="A783" s="15"/>
      <c r="B783" s="15"/>
      <c r="C783" s="16"/>
      <c r="D783" s="15"/>
      <c r="E783" s="26"/>
      <c r="F783" s="16"/>
      <c r="G783" s="26"/>
      <c r="H783" s="16"/>
      <c r="I783" s="26"/>
      <c r="J783" s="16"/>
      <c r="K783" s="26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spans="1:31" ht="17.25" customHeight="1" x14ac:dyDescent="0.25">
      <c r="A784" s="15"/>
      <c r="B784" s="15"/>
      <c r="C784" s="16"/>
      <c r="D784" s="15"/>
      <c r="E784" s="26"/>
      <c r="F784" s="16"/>
      <c r="G784" s="26"/>
      <c r="H784" s="16"/>
      <c r="I784" s="26"/>
      <c r="J784" s="16"/>
      <c r="K784" s="26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spans="1:31" ht="17.25" customHeight="1" x14ac:dyDescent="0.25">
      <c r="A785" s="15"/>
      <c r="B785" s="15"/>
      <c r="C785" s="16"/>
      <c r="D785" s="15"/>
      <c r="E785" s="26"/>
      <c r="F785" s="16"/>
      <c r="G785" s="26"/>
      <c r="H785" s="16"/>
      <c r="I785" s="26"/>
      <c r="J785" s="16"/>
      <c r="K785" s="26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spans="1:31" ht="17.25" customHeight="1" x14ac:dyDescent="0.25">
      <c r="A786" s="15"/>
      <c r="B786" s="15"/>
      <c r="C786" s="16"/>
      <c r="D786" s="15"/>
      <c r="E786" s="26"/>
      <c r="F786" s="16"/>
      <c r="G786" s="26"/>
      <c r="H786" s="16"/>
      <c r="I786" s="26"/>
      <c r="J786" s="16"/>
      <c r="K786" s="26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spans="1:31" ht="17.25" customHeight="1" x14ac:dyDescent="0.25">
      <c r="A787" s="15"/>
      <c r="B787" s="15"/>
      <c r="C787" s="16"/>
      <c r="D787" s="15"/>
      <c r="E787" s="26"/>
      <c r="F787" s="16"/>
      <c r="G787" s="26"/>
      <c r="H787" s="16"/>
      <c r="I787" s="26"/>
      <c r="J787" s="16"/>
      <c r="K787" s="26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spans="1:31" ht="17.25" customHeight="1" x14ac:dyDescent="0.25">
      <c r="A788" s="15"/>
      <c r="B788" s="15"/>
      <c r="C788" s="16"/>
      <c r="D788" s="15"/>
      <c r="E788" s="26"/>
      <c r="F788" s="16"/>
      <c r="G788" s="26"/>
      <c r="H788" s="16"/>
      <c r="I788" s="26"/>
      <c r="J788" s="16"/>
      <c r="K788" s="26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spans="1:31" ht="17.25" customHeight="1" x14ac:dyDescent="0.25">
      <c r="A789" s="15"/>
      <c r="B789" s="15"/>
      <c r="C789" s="16"/>
      <c r="D789" s="15"/>
      <c r="E789" s="26"/>
      <c r="F789" s="16"/>
      <c r="G789" s="26"/>
      <c r="H789" s="16"/>
      <c r="I789" s="26"/>
      <c r="J789" s="16"/>
      <c r="K789" s="26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spans="1:31" ht="17.25" customHeight="1" x14ac:dyDescent="0.25">
      <c r="A790" s="15"/>
      <c r="B790" s="15"/>
      <c r="C790" s="16"/>
      <c r="D790" s="15"/>
      <c r="E790" s="26"/>
      <c r="F790" s="16"/>
      <c r="G790" s="26"/>
      <c r="H790" s="16"/>
      <c r="I790" s="26"/>
      <c r="J790" s="16"/>
      <c r="K790" s="26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spans="1:31" ht="17.25" customHeight="1" x14ac:dyDescent="0.25">
      <c r="A791" s="15"/>
      <c r="B791" s="15"/>
      <c r="C791" s="16"/>
      <c r="D791" s="15"/>
      <c r="E791" s="26"/>
      <c r="F791" s="16"/>
      <c r="G791" s="26"/>
      <c r="H791" s="16"/>
      <c r="I791" s="26"/>
      <c r="J791" s="16"/>
      <c r="K791" s="26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spans="1:31" ht="17.25" customHeight="1" x14ac:dyDescent="0.25">
      <c r="A792" s="15"/>
      <c r="B792" s="15"/>
      <c r="C792" s="16"/>
      <c r="D792" s="15"/>
      <c r="E792" s="26"/>
      <c r="F792" s="16"/>
      <c r="G792" s="26"/>
      <c r="H792" s="16"/>
      <c r="I792" s="26"/>
      <c r="J792" s="16"/>
      <c r="K792" s="26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spans="1:31" ht="17.25" customHeight="1" x14ac:dyDescent="0.25">
      <c r="A793" s="15"/>
      <c r="B793" s="15"/>
      <c r="C793" s="16"/>
      <c r="D793" s="15"/>
      <c r="E793" s="26"/>
      <c r="F793" s="16"/>
      <c r="G793" s="26"/>
      <c r="H793" s="16"/>
      <c r="I793" s="26"/>
      <c r="J793" s="16"/>
      <c r="K793" s="26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spans="1:31" ht="17.25" customHeight="1" x14ac:dyDescent="0.25">
      <c r="A794" s="15"/>
      <c r="B794" s="15"/>
      <c r="C794" s="16"/>
      <c r="D794" s="15"/>
      <c r="E794" s="26"/>
      <c r="F794" s="16"/>
      <c r="G794" s="26"/>
      <c r="H794" s="16"/>
      <c r="I794" s="26"/>
      <c r="J794" s="16"/>
      <c r="K794" s="26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spans="1:31" ht="17.25" customHeight="1" x14ac:dyDescent="0.25">
      <c r="A795" s="15"/>
      <c r="B795" s="15"/>
      <c r="C795" s="16"/>
      <c r="D795" s="15"/>
      <c r="E795" s="26"/>
      <c r="F795" s="16"/>
      <c r="G795" s="26"/>
      <c r="H795" s="16"/>
      <c r="I795" s="26"/>
      <c r="J795" s="16"/>
      <c r="K795" s="26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spans="1:31" ht="17.25" customHeight="1" x14ac:dyDescent="0.25">
      <c r="A796" s="15"/>
      <c r="B796" s="15"/>
      <c r="C796" s="16"/>
      <c r="D796" s="15"/>
      <c r="E796" s="26"/>
      <c r="F796" s="16"/>
      <c r="G796" s="26"/>
      <c r="H796" s="16"/>
      <c r="I796" s="26"/>
      <c r="J796" s="16"/>
      <c r="K796" s="26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spans="1:31" ht="17.25" customHeight="1" x14ac:dyDescent="0.25">
      <c r="A797" s="15"/>
      <c r="B797" s="15"/>
      <c r="C797" s="16"/>
      <c r="D797" s="15"/>
      <c r="E797" s="26"/>
      <c r="F797" s="16"/>
      <c r="G797" s="26"/>
      <c r="H797" s="16"/>
      <c r="I797" s="26"/>
      <c r="J797" s="16"/>
      <c r="K797" s="26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spans="1:31" ht="17.25" customHeight="1" x14ac:dyDescent="0.25">
      <c r="A798" s="15"/>
      <c r="B798" s="15"/>
      <c r="C798" s="16"/>
      <c r="D798" s="15"/>
      <c r="E798" s="26"/>
      <c r="F798" s="16"/>
      <c r="G798" s="26"/>
      <c r="H798" s="16"/>
      <c r="I798" s="26"/>
      <c r="J798" s="16"/>
      <c r="K798" s="26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spans="1:31" ht="17.25" customHeight="1" x14ac:dyDescent="0.25">
      <c r="A799" s="15"/>
      <c r="B799" s="15"/>
      <c r="C799" s="16"/>
      <c r="D799" s="15"/>
      <c r="E799" s="26"/>
      <c r="F799" s="16"/>
      <c r="G799" s="26"/>
      <c r="H799" s="16"/>
      <c r="I799" s="26"/>
      <c r="J799" s="16"/>
      <c r="K799" s="26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spans="1:31" ht="17.25" customHeight="1" x14ac:dyDescent="0.25">
      <c r="A800" s="15"/>
      <c r="B800" s="15"/>
      <c r="C800" s="16"/>
      <c r="D800" s="15"/>
      <c r="E800" s="26"/>
      <c r="F800" s="16"/>
      <c r="G800" s="26"/>
      <c r="H800" s="16"/>
      <c r="I800" s="26"/>
      <c r="J800" s="16"/>
      <c r="K800" s="26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spans="1:31" ht="17.25" customHeight="1" x14ac:dyDescent="0.25">
      <c r="A801" s="15"/>
      <c r="B801" s="15"/>
      <c r="C801" s="16"/>
      <c r="D801" s="15"/>
      <c r="E801" s="26"/>
      <c r="F801" s="16"/>
      <c r="G801" s="26"/>
      <c r="H801" s="16"/>
      <c r="I801" s="26"/>
      <c r="J801" s="16"/>
      <c r="K801" s="26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spans="1:31" ht="17.25" customHeight="1" x14ac:dyDescent="0.25">
      <c r="A802" s="15"/>
      <c r="B802" s="15"/>
      <c r="C802" s="16"/>
      <c r="D802" s="15"/>
      <c r="E802" s="26"/>
      <c r="F802" s="16"/>
      <c r="G802" s="26"/>
      <c r="H802" s="16"/>
      <c r="I802" s="26"/>
      <c r="J802" s="16"/>
      <c r="K802" s="26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spans="1:31" ht="17.25" customHeight="1" x14ac:dyDescent="0.25">
      <c r="A803" s="15"/>
      <c r="B803" s="15"/>
      <c r="C803" s="16"/>
      <c r="D803" s="15"/>
      <c r="E803" s="26"/>
      <c r="F803" s="16"/>
      <c r="G803" s="26"/>
      <c r="H803" s="16"/>
      <c r="I803" s="26"/>
      <c r="J803" s="16"/>
      <c r="K803" s="26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spans="1:31" ht="17.25" customHeight="1" x14ac:dyDescent="0.25">
      <c r="A804" s="15"/>
      <c r="B804" s="15"/>
      <c r="C804" s="16"/>
      <c r="D804" s="15"/>
      <c r="E804" s="26"/>
      <c r="F804" s="16"/>
      <c r="G804" s="26"/>
      <c r="H804" s="16"/>
      <c r="I804" s="26"/>
      <c r="J804" s="16"/>
      <c r="K804" s="26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spans="1:31" ht="17.25" customHeight="1" x14ac:dyDescent="0.25">
      <c r="A805" s="15"/>
      <c r="B805" s="15"/>
      <c r="C805" s="16"/>
      <c r="D805" s="15"/>
      <c r="E805" s="26"/>
      <c r="F805" s="16"/>
      <c r="G805" s="26"/>
      <c r="H805" s="16"/>
      <c r="I805" s="26"/>
      <c r="J805" s="16"/>
      <c r="K805" s="26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spans="1:31" ht="17.25" customHeight="1" x14ac:dyDescent="0.25">
      <c r="A806" s="15"/>
      <c r="B806" s="15"/>
      <c r="C806" s="16"/>
      <c r="D806" s="15"/>
      <c r="E806" s="26"/>
      <c r="F806" s="16"/>
      <c r="G806" s="26"/>
      <c r="H806" s="16"/>
      <c r="I806" s="26"/>
      <c r="J806" s="16"/>
      <c r="K806" s="26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spans="1:31" ht="17.25" customHeight="1" x14ac:dyDescent="0.25">
      <c r="A807" s="15"/>
      <c r="B807" s="15"/>
      <c r="C807" s="16"/>
      <c r="D807" s="15"/>
      <c r="E807" s="26"/>
      <c r="F807" s="16"/>
      <c r="G807" s="26"/>
      <c r="H807" s="16"/>
      <c r="I807" s="26"/>
      <c r="J807" s="16"/>
      <c r="K807" s="26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spans="1:31" ht="17.25" customHeight="1" x14ac:dyDescent="0.25">
      <c r="A808" s="15"/>
      <c r="B808" s="15"/>
      <c r="C808" s="16"/>
      <c r="D808" s="15"/>
      <c r="E808" s="26"/>
      <c r="F808" s="16"/>
      <c r="G808" s="26"/>
      <c r="H808" s="16"/>
      <c r="I808" s="26"/>
      <c r="J808" s="16"/>
      <c r="K808" s="26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spans="1:31" ht="17.25" customHeight="1" x14ac:dyDescent="0.25">
      <c r="A809" s="15"/>
      <c r="B809" s="15"/>
      <c r="C809" s="16"/>
      <c r="D809" s="15"/>
      <c r="E809" s="26"/>
      <c r="F809" s="16"/>
      <c r="G809" s="26"/>
      <c r="H809" s="16"/>
      <c r="I809" s="26"/>
      <c r="J809" s="16"/>
      <c r="K809" s="26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spans="1:31" ht="17.25" customHeight="1" x14ac:dyDescent="0.25">
      <c r="A810" s="15"/>
      <c r="B810" s="15"/>
      <c r="C810" s="16"/>
      <c r="D810" s="15"/>
      <c r="E810" s="26"/>
      <c r="F810" s="16"/>
      <c r="G810" s="26"/>
      <c r="H810" s="16"/>
      <c r="I810" s="26"/>
      <c r="J810" s="16"/>
      <c r="K810" s="26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spans="1:31" ht="17.25" customHeight="1" x14ac:dyDescent="0.25">
      <c r="A811" s="15"/>
      <c r="B811" s="15"/>
      <c r="C811" s="16"/>
      <c r="D811" s="15"/>
      <c r="E811" s="26"/>
      <c r="F811" s="16"/>
      <c r="G811" s="26"/>
      <c r="H811" s="16"/>
      <c r="I811" s="26"/>
      <c r="J811" s="16"/>
      <c r="K811" s="26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spans="1:31" ht="17.25" customHeight="1" x14ac:dyDescent="0.25">
      <c r="A812" s="15"/>
      <c r="B812" s="15"/>
      <c r="C812" s="16"/>
      <c r="D812" s="15"/>
      <c r="E812" s="26"/>
      <c r="F812" s="16"/>
      <c r="G812" s="26"/>
      <c r="H812" s="16"/>
      <c r="I812" s="26"/>
      <c r="J812" s="16"/>
      <c r="K812" s="26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spans="1:31" ht="17.25" customHeight="1" x14ac:dyDescent="0.25">
      <c r="A813" s="15"/>
      <c r="B813" s="15"/>
      <c r="C813" s="16"/>
      <c r="D813" s="15"/>
      <c r="E813" s="26"/>
      <c r="F813" s="16"/>
      <c r="G813" s="26"/>
      <c r="H813" s="16"/>
      <c r="I813" s="26"/>
      <c r="J813" s="16"/>
      <c r="K813" s="26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spans="1:31" ht="17.25" customHeight="1" x14ac:dyDescent="0.25">
      <c r="A814" s="15"/>
      <c r="B814" s="15"/>
      <c r="C814" s="16"/>
      <c r="D814" s="15"/>
      <c r="E814" s="26"/>
      <c r="F814" s="16"/>
      <c r="G814" s="26"/>
      <c r="H814" s="16"/>
      <c r="I814" s="26"/>
      <c r="J814" s="16"/>
      <c r="K814" s="26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spans="1:31" ht="17.25" customHeight="1" x14ac:dyDescent="0.25">
      <c r="A815" s="15"/>
      <c r="B815" s="15"/>
      <c r="C815" s="16"/>
      <c r="D815" s="15"/>
      <c r="E815" s="26"/>
      <c r="F815" s="16"/>
      <c r="G815" s="26"/>
      <c r="H815" s="16"/>
      <c r="I815" s="26"/>
      <c r="J815" s="16"/>
      <c r="K815" s="26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spans="1:31" ht="17.25" customHeight="1" x14ac:dyDescent="0.25">
      <c r="A816" s="15"/>
      <c r="B816" s="15"/>
      <c r="C816" s="16"/>
      <c r="D816" s="15"/>
      <c r="E816" s="26"/>
      <c r="F816" s="16"/>
      <c r="G816" s="26"/>
      <c r="H816" s="16"/>
      <c r="I816" s="26"/>
      <c r="J816" s="16"/>
      <c r="K816" s="26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spans="1:31" ht="17.25" customHeight="1" x14ac:dyDescent="0.25">
      <c r="A817" s="15"/>
      <c r="B817" s="15"/>
      <c r="C817" s="16"/>
      <c r="D817" s="15"/>
      <c r="E817" s="26"/>
      <c r="F817" s="16"/>
      <c r="G817" s="26"/>
      <c r="H817" s="16"/>
      <c r="I817" s="26"/>
      <c r="J817" s="16"/>
      <c r="K817" s="26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spans="1:31" ht="17.25" customHeight="1" x14ac:dyDescent="0.25">
      <c r="A818" s="15"/>
      <c r="B818" s="15"/>
      <c r="C818" s="16"/>
      <c r="D818" s="15"/>
      <c r="E818" s="26"/>
      <c r="F818" s="16"/>
      <c r="G818" s="26"/>
      <c r="H818" s="16"/>
      <c r="I818" s="26"/>
      <c r="J818" s="16"/>
      <c r="K818" s="26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spans="1:31" ht="17.25" customHeight="1" x14ac:dyDescent="0.25">
      <c r="A819" s="15"/>
      <c r="B819" s="15"/>
      <c r="C819" s="16"/>
      <c r="D819" s="15"/>
      <c r="E819" s="26"/>
      <c r="F819" s="16"/>
      <c r="G819" s="26"/>
      <c r="H819" s="16"/>
      <c r="I819" s="26"/>
      <c r="J819" s="16"/>
      <c r="K819" s="26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spans="1:31" ht="17.25" customHeight="1" x14ac:dyDescent="0.25">
      <c r="A820" s="15"/>
      <c r="B820" s="15"/>
      <c r="C820" s="16"/>
      <c r="D820" s="15"/>
      <c r="E820" s="26"/>
      <c r="F820" s="16"/>
      <c r="G820" s="26"/>
      <c r="H820" s="16"/>
      <c r="I820" s="26"/>
      <c r="J820" s="16"/>
      <c r="K820" s="26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spans="1:31" ht="17.25" customHeight="1" x14ac:dyDescent="0.25">
      <c r="A821" s="15"/>
      <c r="B821" s="15"/>
      <c r="C821" s="16"/>
      <c r="D821" s="15"/>
      <c r="E821" s="26"/>
      <c r="F821" s="16"/>
      <c r="G821" s="26"/>
      <c r="H821" s="16"/>
      <c r="I821" s="26"/>
      <c r="J821" s="16"/>
      <c r="K821" s="26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spans="1:31" ht="17.25" customHeight="1" x14ac:dyDescent="0.25">
      <c r="A822" s="15"/>
      <c r="B822" s="15"/>
      <c r="C822" s="16"/>
      <c r="D822" s="15"/>
      <c r="E822" s="26"/>
      <c r="F822" s="16"/>
      <c r="G822" s="26"/>
      <c r="H822" s="16"/>
      <c r="I822" s="26"/>
      <c r="J822" s="16"/>
      <c r="K822" s="26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spans="1:31" ht="17.25" customHeight="1" x14ac:dyDescent="0.25">
      <c r="A823" s="15"/>
      <c r="B823" s="15"/>
      <c r="C823" s="16"/>
      <c r="D823" s="15"/>
      <c r="E823" s="26"/>
      <c r="F823" s="16"/>
      <c r="G823" s="26"/>
      <c r="H823" s="16"/>
      <c r="I823" s="26"/>
      <c r="J823" s="16"/>
      <c r="K823" s="26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spans="1:31" ht="17.25" customHeight="1" x14ac:dyDescent="0.25">
      <c r="A824" s="15"/>
      <c r="B824" s="15"/>
      <c r="C824" s="16"/>
      <c r="D824" s="15"/>
      <c r="E824" s="26"/>
      <c r="F824" s="16"/>
      <c r="G824" s="26"/>
      <c r="H824" s="16"/>
      <c r="I824" s="26"/>
      <c r="J824" s="16"/>
      <c r="K824" s="26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spans="1:31" ht="17.25" customHeight="1" x14ac:dyDescent="0.25">
      <c r="A825" s="15"/>
      <c r="B825" s="15"/>
      <c r="C825" s="16"/>
      <c r="D825" s="15"/>
      <c r="E825" s="26"/>
      <c r="F825" s="16"/>
      <c r="G825" s="26"/>
      <c r="H825" s="16"/>
      <c r="I825" s="26"/>
      <c r="J825" s="16"/>
      <c r="K825" s="26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spans="1:31" ht="17.25" customHeight="1" x14ac:dyDescent="0.25">
      <c r="A826" s="15"/>
      <c r="B826" s="15"/>
      <c r="C826" s="16"/>
      <c r="D826" s="15"/>
      <c r="E826" s="26"/>
      <c r="F826" s="16"/>
      <c r="G826" s="26"/>
      <c r="H826" s="16"/>
      <c r="I826" s="26"/>
      <c r="J826" s="16"/>
      <c r="K826" s="26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spans="1:31" ht="17.25" customHeight="1" x14ac:dyDescent="0.25">
      <c r="A827" s="15"/>
      <c r="B827" s="15"/>
      <c r="C827" s="16"/>
      <c r="D827" s="15"/>
      <c r="E827" s="26"/>
      <c r="F827" s="16"/>
      <c r="G827" s="26"/>
      <c r="H827" s="16"/>
      <c r="I827" s="26"/>
      <c r="J827" s="16"/>
      <c r="K827" s="26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spans="1:31" ht="17.25" customHeight="1" x14ac:dyDescent="0.25">
      <c r="A828" s="15"/>
      <c r="B828" s="15"/>
      <c r="C828" s="16"/>
      <c r="D828" s="15"/>
      <c r="E828" s="26"/>
      <c r="F828" s="16"/>
      <c r="G828" s="26"/>
      <c r="H828" s="16"/>
      <c r="I828" s="26"/>
      <c r="J828" s="16"/>
      <c r="K828" s="26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spans="1:31" ht="17.25" customHeight="1" x14ac:dyDescent="0.25">
      <c r="A829" s="15"/>
      <c r="B829" s="15"/>
      <c r="C829" s="16"/>
      <c r="D829" s="15"/>
      <c r="E829" s="26"/>
      <c r="F829" s="16"/>
      <c r="G829" s="26"/>
      <c r="H829" s="16"/>
      <c r="I829" s="26"/>
      <c r="J829" s="16"/>
      <c r="K829" s="26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spans="1:31" ht="17.25" customHeight="1" x14ac:dyDescent="0.25">
      <c r="A830" s="15"/>
      <c r="B830" s="15"/>
      <c r="C830" s="16"/>
      <c r="D830" s="15"/>
      <c r="E830" s="26"/>
      <c r="F830" s="16"/>
      <c r="G830" s="26"/>
      <c r="H830" s="16"/>
      <c r="I830" s="26"/>
      <c r="J830" s="16"/>
      <c r="K830" s="26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spans="1:31" ht="17.25" customHeight="1" x14ac:dyDescent="0.25">
      <c r="A831" s="15"/>
      <c r="B831" s="15"/>
      <c r="C831" s="16"/>
      <c r="D831" s="15"/>
      <c r="E831" s="26"/>
      <c r="F831" s="16"/>
      <c r="G831" s="26"/>
      <c r="H831" s="16"/>
      <c r="I831" s="26"/>
      <c r="J831" s="16"/>
      <c r="K831" s="26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spans="1:31" ht="17.25" customHeight="1" x14ac:dyDescent="0.25">
      <c r="A832" s="15"/>
      <c r="B832" s="15"/>
      <c r="C832" s="16"/>
      <c r="D832" s="15"/>
      <c r="E832" s="26"/>
      <c r="F832" s="16"/>
      <c r="G832" s="26"/>
      <c r="H832" s="16"/>
      <c r="I832" s="26"/>
      <c r="J832" s="16"/>
      <c r="K832" s="26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spans="1:31" ht="17.25" customHeight="1" x14ac:dyDescent="0.25">
      <c r="A833" s="15"/>
      <c r="B833" s="15"/>
      <c r="C833" s="16"/>
      <c r="D833" s="15"/>
      <c r="E833" s="26"/>
      <c r="F833" s="16"/>
      <c r="G833" s="26"/>
      <c r="H833" s="16"/>
      <c r="I833" s="26"/>
      <c r="J833" s="16"/>
      <c r="K833" s="26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spans="1:31" ht="17.25" customHeight="1" x14ac:dyDescent="0.25">
      <c r="A834" s="15"/>
      <c r="B834" s="15"/>
      <c r="C834" s="16"/>
      <c r="D834" s="15"/>
      <c r="E834" s="26"/>
      <c r="F834" s="16"/>
      <c r="G834" s="26"/>
      <c r="H834" s="16"/>
      <c r="I834" s="26"/>
      <c r="J834" s="16"/>
      <c r="K834" s="26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spans="1:31" ht="17.25" customHeight="1" x14ac:dyDescent="0.25">
      <c r="A835" s="15"/>
      <c r="B835" s="15"/>
      <c r="C835" s="16"/>
      <c r="D835" s="15"/>
      <c r="E835" s="26"/>
      <c r="F835" s="16"/>
      <c r="G835" s="26"/>
      <c r="H835" s="16"/>
      <c r="I835" s="26"/>
      <c r="J835" s="16"/>
      <c r="K835" s="26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spans="1:31" ht="17.25" customHeight="1" x14ac:dyDescent="0.25">
      <c r="A836" s="15"/>
      <c r="B836" s="15"/>
      <c r="C836" s="16"/>
      <c r="D836" s="15"/>
      <c r="E836" s="26"/>
      <c r="F836" s="16"/>
      <c r="G836" s="26"/>
      <c r="H836" s="16"/>
      <c r="I836" s="26"/>
      <c r="J836" s="16"/>
      <c r="K836" s="26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spans="1:31" ht="17.25" customHeight="1" x14ac:dyDescent="0.25">
      <c r="A837" s="15"/>
      <c r="B837" s="15"/>
      <c r="C837" s="16"/>
      <c r="D837" s="15"/>
      <c r="E837" s="26"/>
      <c r="F837" s="16"/>
      <c r="G837" s="26"/>
      <c r="H837" s="16"/>
      <c r="I837" s="26"/>
      <c r="J837" s="16"/>
      <c r="K837" s="26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spans="1:31" ht="17.25" customHeight="1" x14ac:dyDescent="0.25">
      <c r="A838" s="15"/>
      <c r="B838" s="15"/>
      <c r="C838" s="16"/>
      <c r="D838" s="15"/>
      <c r="E838" s="26"/>
      <c r="F838" s="16"/>
      <c r="G838" s="26"/>
      <c r="H838" s="16"/>
      <c r="I838" s="26"/>
      <c r="J838" s="16"/>
      <c r="K838" s="26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spans="1:31" ht="17.25" customHeight="1" x14ac:dyDescent="0.25">
      <c r="A839" s="15"/>
      <c r="B839" s="15"/>
      <c r="C839" s="16"/>
      <c r="D839" s="15"/>
      <c r="E839" s="26"/>
      <c r="F839" s="16"/>
      <c r="G839" s="26"/>
      <c r="H839" s="16"/>
      <c r="I839" s="26"/>
      <c r="J839" s="16"/>
      <c r="K839" s="26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spans="1:31" ht="17.25" customHeight="1" x14ac:dyDescent="0.25">
      <c r="A840" s="15"/>
      <c r="B840" s="15"/>
      <c r="C840" s="16"/>
      <c r="D840" s="15"/>
      <c r="E840" s="26"/>
      <c r="F840" s="16"/>
      <c r="G840" s="26"/>
      <c r="H840" s="16"/>
      <c r="I840" s="26"/>
      <c r="J840" s="16"/>
      <c r="K840" s="26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spans="1:31" ht="17.25" customHeight="1" x14ac:dyDescent="0.25">
      <c r="A841" s="15"/>
      <c r="B841" s="15"/>
      <c r="C841" s="16"/>
      <c r="D841" s="15"/>
      <c r="E841" s="26"/>
      <c r="F841" s="16"/>
      <c r="G841" s="26"/>
      <c r="H841" s="16"/>
      <c r="I841" s="26"/>
      <c r="J841" s="16"/>
      <c r="K841" s="26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spans="1:31" ht="17.25" customHeight="1" x14ac:dyDescent="0.25">
      <c r="A842" s="15"/>
      <c r="B842" s="15"/>
      <c r="C842" s="16"/>
      <c r="D842" s="15"/>
      <c r="E842" s="26"/>
      <c r="F842" s="16"/>
      <c r="G842" s="26"/>
      <c r="H842" s="16"/>
      <c r="I842" s="26"/>
      <c r="J842" s="16"/>
      <c r="K842" s="26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spans="1:31" ht="17.25" customHeight="1" x14ac:dyDescent="0.25">
      <c r="A843" s="15"/>
      <c r="B843" s="15"/>
      <c r="C843" s="16"/>
      <c r="D843" s="15"/>
      <c r="E843" s="26"/>
      <c r="F843" s="16"/>
      <c r="G843" s="26"/>
      <c r="H843" s="16"/>
      <c r="I843" s="26"/>
      <c r="J843" s="16"/>
      <c r="K843" s="26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spans="1:31" ht="17.25" customHeight="1" x14ac:dyDescent="0.25">
      <c r="A844" s="15"/>
      <c r="B844" s="15"/>
      <c r="C844" s="16"/>
      <c r="D844" s="15"/>
      <c r="E844" s="26"/>
      <c r="F844" s="16"/>
      <c r="G844" s="26"/>
      <c r="H844" s="16"/>
      <c r="I844" s="26"/>
      <c r="J844" s="16"/>
      <c r="K844" s="26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spans="1:31" ht="17.25" customHeight="1" x14ac:dyDescent="0.25">
      <c r="A845" s="15"/>
      <c r="B845" s="15"/>
      <c r="C845" s="16"/>
      <c r="D845" s="15"/>
      <c r="E845" s="26"/>
      <c r="F845" s="16"/>
      <c r="G845" s="26"/>
      <c r="H845" s="16"/>
      <c r="I845" s="26"/>
      <c r="J845" s="16"/>
      <c r="K845" s="26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spans="1:31" ht="17.25" customHeight="1" x14ac:dyDescent="0.25">
      <c r="A846" s="15"/>
      <c r="B846" s="15"/>
      <c r="C846" s="16"/>
      <c r="D846" s="15"/>
      <c r="E846" s="26"/>
      <c r="F846" s="16"/>
      <c r="G846" s="26"/>
      <c r="H846" s="16"/>
      <c r="I846" s="26"/>
      <c r="J846" s="16"/>
      <c r="K846" s="26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spans="1:31" ht="17.25" customHeight="1" x14ac:dyDescent="0.25">
      <c r="A847" s="15"/>
      <c r="B847" s="15"/>
      <c r="C847" s="16"/>
      <c r="D847" s="15"/>
      <c r="E847" s="26"/>
      <c r="F847" s="16"/>
      <c r="G847" s="26"/>
      <c r="H847" s="16"/>
      <c r="I847" s="26"/>
      <c r="J847" s="16"/>
      <c r="K847" s="26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spans="1:31" ht="17.25" customHeight="1" x14ac:dyDescent="0.25">
      <c r="A848" s="15"/>
      <c r="B848" s="15"/>
      <c r="C848" s="16"/>
      <c r="D848" s="15"/>
      <c r="E848" s="26"/>
      <c r="F848" s="16"/>
      <c r="G848" s="26"/>
      <c r="H848" s="16"/>
      <c r="I848" s="26"/>
      <c r="J848" s="16"/>
      <c r="K848" s="26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spans="1:31" ht="17.25" customHeight="1" x14ac:dyDescent="0.25">
      <c r="A849" s="15"/>
      <c r="B849" s="15"/>
      <c r="C849" s="16"/>
      <c r="D849" s="15"/>
      <c r="E849" s="26"/>
      <c r="F849" s="16"/>
      <c r="G849" s="26"/>
      <c r="H849" s="16"/>
      <c r="I849" s="26"/>
      <c r="J849" s="16"/>
      <c r="K849" s="26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spans="1:31" ht="17.25" customHeight="1" x14ac:dyDescent="0.25">
      <c r="A850" s="15"/>
      <c r="B850" s="15"/>
      <c r="C850" s="16"/>
      <c r="D850" s="15"/>
      <c r="E850" s="26"/>
      <c r="F850" s="16"/>
      <c r="G850" s="26"/>
      <c r="H850" s="16"/>
      <c r="I850" s="26"/>
      <c r="J850" s="16"/>
      <c r="K850" s="26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spans="1:31" ht="17.25" customHeight="1" x14ac:dyDescent="0.25">
      <c r="A851" s="15"/>
      <c r="B851" s="15"/>
      <c r="C851" s="16"/>
      <c r="D851" s="15"/>
      <c r="E851" s="26"/>
      <c r="F851" s="16"/>
      <c r="G851" s="26"/>
      <c r="H851" s="16"/>
      <c r="I851" s="26"/>
      <c r="J851" s="16"/>
      <c r="K851" s="26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spans="1:31" ht="17.25" customHeight="1" x14ac:dyDescent="0.25">
      <c r="A852" s="15"/>
      <c r="B852" s="15"/>
      <c r="C852" s="16"/>
      <c r="D852" s="15"/>
      <c r="E852" s="26"/>
      <c r="F852" s="16"/>
      <c r="G852" s="26"/>
      <c r="H852" s="16"/>
      <c r="I852" s="26"/>
      <c r="J852" s="16"/>
      <c r="K852" s="26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spans="1:31" ht="17.25" customHeight="1" x14ac:dyDescent="0.25">
      <c r="A853" s="15"/>
      <c r="B853" s="15"/>
      <c r="C853" s="16"/>
      <c r="D853" s="15"/>
      <c r="E853" s="26"/>
      <c r="F853" s="16"/>
      <c r="G853" s="26"/>
      <c r="H853" s="16"/>
      <c r="I853" s="26"/>
      <c r="J853" s="16"/>
      <c r="K853" s="26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spans="1:31" ht="17.25" customHeight="1" x14ac:dyDescent="0.25">
      <c r="A854" s="15"/>
      <c r="B854" s="15"/>
      <c r="C854" s="16"/>
      <c r="D854" s="15"/>
      <c r="E854" s="26"/>
      <c r="F854" s="16"/>
      <c r="G854" s="26"/>
      <c r="H854" s="16"/>
      <c r="I854" s="26"/>
      <c r="J854" s="16"/>
      <c r="K854" s="26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spans="1:31" ht="17.25" customHeight="1" x14ac:dyDescent="0.25">
      <c r="A855" s="15"/>
      <c r="B855" s="15"/>
      <c r="C855" s="16"/>
      <c r="D855" s="15"/>
      <c r="E855" s="26"/>
      <c r="F855" s="16"/>
      <c r="G855" s="26"/>
      <c r="H855" s="16"/>
      <c r="I855" s="26"/>
      <c r="J855" s="16"/>
      <c r="K855" s="26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spans="1:31" ht="17.25" customHeight="1" x14ac:dyDescent="0.25">
      <c r="A856" s="15"/>
      <c r="B856" s="15"/>
      <c r="C856" s="16"/>
      <c r="D856" s="15"/>
      <c r="E856" s="26"/>
      <c r="F856" s="16"/>
      <c r="G856" s="26"/>
      <c r="H856" s="16"/>
      <c r="I856" s="26"/>
      <c r="J856" s="16"/>
      <c r="K856" s="26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spans="1:31" ht="17.25" customHeight="1" x14ac:dyDescent="0.25">
      <c r="A857" s="15"/>
      <c r="B857" s="15"/>
      <c r="C857" s="16"/>
      <c r="D857" s="15"/>
      <c r="E857" s="26"/>
      <c r="F857" s="16"/>
      <c r="G857" s="26"/>
      <c r="H857" s="16"/>
      <c r="I857" s="26"/>
      <c r="J857" s="16"/>
      <c r="K857" s="26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spans="1:31" ht="17.25" customHeight="1" x14ac:dyDescent="0.25">
      <c r="A858" s="15"/>
      <c r="B858" s="15"/>
      <c r="C858" s="16"/>
      <c r="D858" s="15"/>
      <c r="E858" s="26"/>
      <c r="F858" s="16"/>
      <c r="G858" s="26"/>
      <c r="H858" s="16"/>
      <c r="I858" s="26"/>
      <c r="J858" s="16"/>
      <c r="K858" s="26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spans="1:31" ht="17.25" customHeight="1" x14ac:dyDescent="0.25">
      <c r="A859" s="15"/>
      <c r="B859" s="15"/>
      <c r="C859" s="16"/>
      <c r="D859" s="15"/>
      <c r="E859" s="26"/>
      <c r="F859" s="16"/>
      <c r="G859" s="26"/>
      <c r="H859" s="16"/>
      <c r="I859" s="26"/>
      <c r="J859" s="16"/>
      <c r="K859" s="26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spans="1:31" ht="17.25" customHeight="1" x14ac:dyDescent="0.25">
      <c r="A860" s="15"/>
      <c r="B860" s="15"/>
      <c r="C860" s="16"/>
      <c r="D860" s="15"/>
      <c r="E860" s="26"/>
      <c r="F860" s="16"/>
      <c r="G860" s="26"/>
      <c r="H860" s="16"/>
      <c r="I860" s="26"/>
      <c r="J860" s="16"/>
      <c r="K860" s="26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spans="1:31" ht="17.25" customHeight="1" x14ac:dyDescent="0.25">
      <c r="A861" s="15"/>
      <c r="B861" s="15"/>
      <c r="C861" s="16"/>
      <c r="D861" s="15"/>
      <c r="E861" s="26"/>
      <c r="F861" s="16"/>
      <c r="G861" s="26"/>
      <c r="H861" s="16"/>
      <c r="I861" s="26"/>
      <c r="J861" s="16"/>
      <c r="K861" s="26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spans="1:31" ht="17.25" customHeight="1" x14ac:dyDescent="0.25">
      <c r="A862" s="15"/>
      <c r="B862" s="15"/>
      <c r="C862" s="16"/>
      <c r="D862" s="15"/>
      <c r="E862" s="26"/>
      <c r="F862" s="16"/>
      <c r="G862" s="26"/>
      <c r="H862" s="16"/>
      <c r="I862" s="26"/>
      <c r="J862" s="16"/>
      <c r="K862" s="26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spans="1:31" ht="17.25" customHeight="1" x14ac:dyDescent="0.25">
      <c r="A863" s="15"/>
      <c r="B863" s="15"/>
      <c r="C863" s="16"/>
      <c r="D863" s="15"/>
      <c r="E863" s="26"/>
      <c r="F863" s="16"/>
      <c r="G863" s="26"/>
      <c r="H863" s="16"/>
      <c r="I863" s="26"/>
      <c r="J863" s="16"/>
      <c r="K863" s="26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spans="1:31" ht="17.25" customHeight="1" x14ac:dyDescent="0.25">
      <c r="A864" s="15"/>
      <c r="B864" s="15"/>
      <c r="C864" s="16"/>
      <c r="D864" s="15"/>
      <c r="E864" s="26"/>
      <c r="F864" s="16"/>
      <c r="G864" s="26"/>
      <c r="H864" s="16"/>
      <c r="I864" s="26"/>
      <c r="J864" s="16"/>
      <c r="K864" s="26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spans="1:31" ht="17.25" customHeight="1" x14ac:dyDescent="0.25">
      <c r="A865" s="15"/>
      <c r="B865" s="15"/>
      <c r="C865" s="16"/>
      <c r="D865" s="15"/>
      <c r="E865" s="26"/>
      <c r="F865" s="16"/>
      <c r="G865" s="26"/>
      <c r="H865" s="16"/>
      <c r="I865" s="26"/>
      <c r="J865" s="16"/>
      <c r="K865" s="26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spans="1:31" ht="17.25" customHeight="1" x14ac:dyDescent="0.25">
      <c r="A866" s="15"/>
      <c r="B866" s="15"/>
      <c r="C866" s="16"/>
      <c r="D866" s="15"/>
      <c r="E866" s="26"/>
      <c r="F866" s="16"/>
      <c r="G866" s="26"/>
      <c r="H866" s="16"/>
      <c r="I866" s="26"/>
      <c r="J866" s="16"/>
      <c r="K866" s="26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spans="1:31" ht="17.25" customHeight="1" x14ac:dyDescent="0.25">
      <c r="A867" s="15"/>
      <c r="B867" s="15"/>
      <c r="C867" s="16"/>
      <c r="D867" s="15"/>
      <c r="E867" s="26"/>
      <c r="F867" s="16"/>
      <c r="G867" s="26"/>
      <c r="H867" s="16"/>
      <c r="I867" s="26"/>
      <c r="J867" s="16"/>
      <c r="K867" s="26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spans="1:31" ht="17.25" customHeight="1" x14ac:dyDescent="0.25">
      <c r="A868" s="15"/>
      <c r="B868" s="15"/>
      <c r="C868" s="16"/>
      <c r="D868" s="15"/>
      <c r="E868" s="26"/>
      <c r="F868" s="16"/>
      <c r="G868" s="26"/>
      <c r="H868" s="16"/>
      <c r="I868" s="26"/>
      <c r="J868" s="16"/>
      <c r="K868" s="26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spans="1:31" ht="17.25" customHeight="1" x14ac:dyDescent="0.25">
      <c r="A869" s="15"/>
      <c r="B869" s="15"/>
      <c r="C869" s="16"/>
      <c r="D869" s="15"/>
      <c r="E869" s="26"/>
      <c r="F869" s="16"/>
      <c r="G869" s="26"/>
      <c r="H869" s="16"/>
      <c r="I869" s="26"/>
      <c r="J869" s="16"/>
      <c r="K869" s="26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spans="1:31" ht="17.25" customHeight="1" x14ac:dyDescent="0.25">
      <c r="A870" s="15"/>
      <c r="B870" s="15"/>
      <c r="C870" s="16"/>
      <c r="D870" s="15"/>
      <c r="E870" s="26"/>
      <c r="F870" s="16"/>
      <c r="G870" s="26"/>
      <c r="H870" s="16"/>
      <c r="I870" s="26"/>
      <c r="J870" s="16"/>
      <c r="K870" s="26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spans="1:31" ht="17.25" customHeight="1" x14ac:dyDescent="0.25">
      <c r="A871" s="15"/>
      <c r="B871" s="15"/>
      <c r="C871" s="16"/>
      <c r="D871" s="15"/>
      <c r="E871" s="26"/>
      <c r="F871" s="16"/>
      <c r="G871" s="26"/>
      <c r="H871" s="16"/>
      <c r="I871" s="26"/>
      <c r="J871" s="16"/>
      <c r="K871" s="26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spans="1:31" ht="17.25" customHeight="1" x14ac:dyDescent="0.25">
      <c r="A872" s="15"/>
      <c r="B872" s="15"/>
      <c r="C872" s="16"/>
      <c r="D872" s="15"/>
      <c r="E872" s="26"/>
      <c r="F872" s="16"/>
      <c r="G872" s="26"/>
      <c r="H872" s="16"/>
      <c r="I872" s="26"/>
      <c r="J872" s="16"/>
      <c r="K872" s="26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spans="1:31" ht="17.25" customHeight="1" x14ac:dyDescent="0.25">
      <c r="A873" s="15"/>
      <c r="B873" s="15"/>
      <c r="C873" s="16"/>
      <c r="D873" s="15"/>
      <c r="E873" s="26"/>
      <c r="F873" s="16"/>
      <c r="G873" s="26"/>
      <c r="H873" s="16"/>
      <c r="I873" s="26"/>
      <c r="J873" s="16"/>
      <c r="K873" s="26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spans="1:31" ht="17.25" customHeight="1" x14ac:dyDescent="0.25">
      <c r="A874" s="15"/>
      <c r="B874" s="15"/>
      <c r="C874" s="16"/>
      <c r="D874" s="15"/>
      <c r="E874" s="26"/>
      <c r="F874" s="16"/>
      <c r="G874" s="26"/>
      <c r="H874" s="16"/>
      <c r="I874" s="26"/>
      <c r="J874" s="16"/>
      <c r="K874" s="26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spans="1:31" ht="17.25" customHeight="1" x14ac:dyDescent="0.25">
      <c r="A875" s="15"/>
      <c r="B875" s="15"/>
      <c r="C875" s="16"/>
      <c r="D875" s="15"/>
      <c r="E875" s="26"/>
      <c r="F875" s="16"/>
      <c r="G875" s="26"/>
      <c r="H875" s="16"/>
      <c r="I875" s="26"/>
      <c r="J875" s="16"/>
      <c r="K875" s="26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spans="1:31" ht="17.25" customHeight="1" x14ac:dyDescent="0.25">
      <c r="A876" s="15"/>
      <c r="B876" s="15"/>
      <c r="C876" s="16"/>
      <c r="D876" s="15"/>
      <c r="E876" s="26"/>
      <c r="F876" s="16"/>
      <c r="G876" s="26"/>
      <c r="H876" s="16"/>
      <c r="I876" s="26"/>
      <c r="J876" s="16"/>
      <c r="K876" s="26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spans="1:31" ht="17.25" customHeight="1" x14ac:dyDescent="0.25">
      <c r="A877" s="15"/>
      <c r="B877" s="15"/>
      <c r="C877" s="16"/>
      <c r="D877" s="15"/>
      <c r="E877" s="26"/>
      <c r="F877" s="16"/>
      <c r="G877" s="26"/>
      <c r="H877" s="16"/>
      <c r="I877" s="26"/>
      <c r="J877" s="16"/>
      <c r="K877" s="26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spans="1:31" ht="17.25" customHeight="1" x14ac:dyDescent="0.25">
      <c r="A878" s="15"/>
      <c r="B878" s="15"/>
      <c r="C878" s="16"/>
      <c r="D878" s="15"/>
      <c r="E878" s="26"/>
      <c r="F878" s="16"/>
      <c r="G878" s="26"/>
      <c r="H878" s="16"/>
      <c r="I878" s="26"/>
      <c r="J878" s="16"/>
      <c r="K878" s="26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spans="1:31" ht="17.25" customHeight="1" x14ac:dyDescent="0.25">
      <c r="A879" s="15"/>
      <c r="B879" s="15"/>
      <c r="C879" s="16"/>
      <c r="D879" s="15"/>
      <c r="E879" s="26"/>
      <c r="F879" s="16"/>
      <c r="G879" s="26"/>
      <c r="H879" s="16"/>
      <c r="I879" s="26"/>
      <c r="J879" s="16"/>
      <c r="K879" s="26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spans="1:31" ht="17.25" customHeight="1" x14ac:dyDescent="0.25">
      <c r="A880" s="15"/>
      <c r="B880" s="15"/>
      <c r="C880" s="16"/>
      <c r="D880" s="15"/>
      <c r="E880" s="26"/>
      <c r="F880" s="16"/>
      <c r="G880" s="26"/>
      <c r="H880" s="16"/>
      <c r="I880" s="26"/>
      <c r="J880" s="16"/>
      <c r="K880" s="26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spans="1:31" ht="17.25" customHeight="1" x14ac:dyDescent="0.25">
      <c r="A881" s="15"/>
      <c r="B881" s="15"/>
      <c r="C881" s="16"/>
      <c r="D881" s="15"/>
      <c r="E881" s="26"/>
      <c r="F881" s="16"/>
      <c r="G881" s="26"/>
      <c r="H881" s="16"/>
      <c r="I881" s="26"/>
      <c r="J881" s="16"/>
      <c r="K881" s="26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spans="1:31" ht="17.25" customHeight="1" x14ac:dyDescent="0.25">
      <c r="A882" s="15"/>
      <c r="B882" s="15"/>
      <c r="C882" s="16"/>
      <c r="D882" s="15"/>
      <c r="E882" s="26"/>
      <c r="F882" s="16"/>
      <c r="G882" s="26"/>
      <c r="H882" s="16"/>
      <c r="I882" s="26"/>
      <c r="J882" s="16"/>
      <c r="K882" s="26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spans="1:31" ht="17.25" customHeight="1" x14ac:dyDescent="0.25">
      <c r="A883" s="15"/>
      <c r="B883" s="15"/>
      <c r="C883" s="16"/>
      <c r="D883" s="15"/>
      <c r="E883" s="26"/>
      <c r="F883" s="16"/>
      <c r="G883" s="26"/>
      <c r="H883" s="16"/>
      <c r="I883" s="26"/>
      <c r="J883" s="16"/>
      <c r="K883" s="26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spans="1:31" ht="17.25" customHeight="1" x14ac:dyDescent="0.25">
      <c r="A884" s="15"/>
      <c r="B884" s="15"/>
      <c r="C884" s="16"/>
      <c r="D884" s="15"/>
      <c r="E884" s="26"/>
      <c r="F884" s="16"/>
      <c r="G884" s="26"/>
      <c r="H884" s="16"/>
      <c r="I884" s="26"/>
      <c r="J884" s="16"/>
      <c r="K884" s="26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spans="1:31" ht="17.25" customHeight="1" x14ac:dyDescent="0.25">
      <c r="A885" s="15"/>
      <c r="B885" s="15"/>
      <c r="C885" s="16"/>
      <c r="D885" s="15"/>
      <c r="E885" s="26"/>
      <c r="F885" s="16"/>
      <c r="G885" s="26"/>
      <c r="H885" s="16"/>
      <c r="I885" s="26"/>
      <c r="J885" s="16"/>
      <c r="K885" s="26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spans="1:31" ht="17.25" customHeight="1" x14ac:dyDescent="0.25">
      <c r="A886" s="15"/>
      <c r="B886" s="15"/>
      <c r="C886" s="16"/>
      <c r="D886" s="15"/>
      <c r="E886" s="26"/>
      <c r="F886" s="16"/>
      <c r="G886" s="26"/>
      <c r="H886" s="16"/>
      <c r="I886" s="26"/>
      <c r="J886" s="16"/>
      <c r="K886" s="26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spans="1:31" ht="17.25" customHeight="1" x14ac:dyDescent="0.25">
      <c r="A887" s="15"/>
      <c r="B887" s="15"/>
      <c r="C887" s="16"/>
      <c r="D887" s="15"/>
      <c r="E887" s="26"/>
      <c r="F887" s="16"/>
      <c r="G887" s="26"/>
      <c r="H887" s="16"/>
      <c r="I887" s="26"/>
      <c r="J887" s="16"/>
      <c r="K887" s="26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spans="1:31" ht="17.25" customHeight="1" x14ac:dyDescent="0.25">
      <c r="A888" s="15"/>
      <c r="B888" s="15"/>
      <c r="C888" s="16"/>
      <c r="D888" s="15"/>
      <c r="E888" s="26"/>
      <c r="F888" s="16"/>
      <c r="G888" s="26"/>
      <c r="H888" s="16"/>
      <c r="I888" s="26"/>
      <c r="J888" s="16"/>
      <c r="K888" s="26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spans="1:31" ht="17.25" customHeight="1" x14ac:dyDescent="0.25">
      <c r="A889" s="15"/>
      <c r="B889" s="15"/>
      <c r="C889" s="16"/>
      <c r="D889" s="15"/>
      <c r="E889" s="26"/>
      <c r="F889" s="16"/>
      <c r="G889" s="26"/>
      <c r="H889" s="16"/>
      <c r="I889" s="26"/>
      <c r="J889" s="16"/>
      <c r="K889" s="26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spans="1:31" ht="17.25" customHeight="1" x14ac:dyDescent="0.25">
      <c r="A890" s="15"/>
      <c r="B890" s="15"/>
      <c r="C890" s="16"/>
      <c r="D890" s="15"/>
      <c r="E890" s="26"/>
      <c r="F890" s="16"/>
      <c r="G890" s="26"/>
      <c r="H890" s="16"/>
      <c r="I890" s="26"/>
      <c r="J890" s="16"/>
      <c r="K890" s="26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spans="1:31" ht="17.25" customHeight="1" x14ac:dyDescent="0.25">
      <c r="A891" s="15"/>
      <c r="B891" s="15"/>
      <c r="C891" s="16"/>
      <c r="D891" s="15"/>
      <c r="E891" s="26"/>
      <c r="F891" s="16"/>
      <c r="G891" s="26"/>
      <c r="H891" s="16"/>
      <c r="I891" s="26"/>
      <c r="J891" s="16"/>
      <c r="K891" s="26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spans="1:31" ht="17.25" customHeight="1" x14ac:dyDescent="0.25">
      <c r="A892" s="15"/>
      <c r="B892" s="15"/>
      <c r="C892" s="16"/>
      <c r="D892" s="15"/>
      <c r="E892" s="26"/>
      <c r="F892" s="16"/>
      <c r="G892" s="26"/>
      <c r="H892" s="16"/>
      <c r="I892" s="26"/>
      <c r="J892" s="16"/>
      <c r="K892" s="26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spans="1:31" ht="17.25" customHeight="1" x14ac:dyDescent="0.25">
      <c r="A893" s="15"/>
      <c r="B893" s="15"/>
      <c r="C893" s="16"/>
      <c r="D893" s="15"/>
      <c r="E893" s="26"/>
      <c r="F893" s="16"/>
      <c r="G893" s="26"/>
      <c r="H893" s="16"/>
      <c r="I893" s="26"/>
      <c r="J893" s="16"/>
      <c r="K893" s="26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spans="1:31" ht="17.25" customHeight="1" x14ac:dyDescent="0.25">
      <c r="A894" s="15"/>
      <c r="B894" s="15"/>
      <c r="C894" s="16"/>
      <c r="D894" s="15"/>
      <c r="E894" s="26"/>
      <c r="F894" s="16"/>
      <c r="G894" s="26"/>
      <c r="H894" s="16"/>
      <c r="I894" s="26"/>
      <c r="J894" s="16"/>
      <c r="K894" s="26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spans="1:31" ht="17.25" customHeight="1" x14ac:dyDescent="0.25">
      <c r="A895" s="15"/>
      <c r="B895" s="15"/>
      <c r="C895" s="16"/>
      <c r="D895" s="15"/>
      <c r="E895" s="26"/>
      <c r="F895" s="16"/>
      <c r="G895" s="26"/>
      <c r="H895" s="16"/>
      <c r="I895" s="26"/>
      <c r="J895" s="16"/>
      <c r="K895" s="26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spans="1:31" ht="17.25" customHeight="1" x14ac:dyDescent="0.25">
      <c r="A896" s="15"/>
      <c r="B896" s="15"/>
      <c r="C896" s="16"/>
      <c r="D896" s="15"/>
      <c r="E896" s="26"/>
      <c r="F896" s="16"/>
      <c r="G896" s="26"/>
      <c r="H896" s="16"/>
      <c r="I896" s="26"/>
      <c r="J896" s="16"/>
      <c r="K896" s="26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spans="1:31" ht="17.25" customHeight="1" x14ac:dyDescent="0.25">
      <c r="A897" s="15"/>
      <c r="B897" s="15"/>
      <c r="C897" s="16"/>
      <c r="D897" s="15"/>
      <c r="E897" s="26"/>
      <c r="F897" s="16"/>
      <c r="G897" s="26"/>
      <c r="H897" s="16"/>
      <c r="I897" s="26"/>
      <c r="J897" s="16"/>
      <c r="K897" s="26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spans="1:31" ht="17.25" customHeight="1" x14ac:dyDescent="0.25">
      <c r="A898" s="15"/>
      <c r="B898" s="15"/>
      <c r="C898" s="16"/>
      <c r="D898" s="15"/>
      <c r="E898" s="26"/>
      <c r="F898" s="16"/>
      <c r="G898" s="26"/>
      <c r="H898" s="16"/>
      <c r="I898" s="26"/>
      <c r="J898" s="16"/>
      <c r="K898" s="26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spans="1:31" ht="17.25" customHeight="1" x14ac:dyDescent="0.25">
      <c r="A899" s="15"/>
      <c r="B899" s="15"/>
      <c r="C899" s="16"/>
      <c r="D899" s="15"/>
      <c r="E899" s="26"/>
      <c r="F899" s="16"/>
      <c r="G899" s="26"/>
      <c r="H899" s="16"/>
      <c r="I899" s="26"/>
      <c r="J899" s="16"/>
      <c r="K899" s="26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spans="1:31" ht="17.25" customHeight="1" x14ac:dyDescent="0.25">
      <c r="A900" s="15"/>
      <c r="B900" s="15"/>
      <c r="C900" s="16"/>
      <c r="D900" s="15"/>
      <c r="E900" s="26"/>
      <c r="F900" s="16"/>
      <c r="G900" s="26"/>
      <c r="H900" s="16"/>
      <c r="I900" s="26"/>
      <c r="J900" s="16"/>
      <c r="K900" s="26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spans="1:31" ht="17.25" customHeight="1" x14ac:dyDescent="0.25">
      <c r="A901" s="15"/>
      <c r="B901" s="15"/>
      <c r="C901" s="16"/>
      <c r="D901" s="15"/>
      <c r="E901" s="26"/>
      <c r="F901" s="16"/>
      <c r="G901" s="26"/>
      <c r="H901" s="16"/>
      <c r="I901" s="26"/>
      <c r="J901" s="16"/>
      <c r="K901" s="26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spans="1:31" ht="17.25" customHeight="1" x14ac:dyDescent="0.25">
      <c r="A902" s="15"/>
      <c r="B902" s="15"/>
      <c r="C902" s="16"/>
      <c r="D902" s="15"/>
      <c r="E902" s="26"/>
      <c r="F902" s="16"/>
      <c r="G902" s="26"/>
      <c r="H902" s="16"/>
      <c r="I902" s="26"/>
      <c r="J902" s="16"/>
      <c r="K902" s="26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spans="1:31" ht="17.25" customHeight="1" x14ac:dyDescent="0.25">
      <c r="A903" s="15"/>
      <c r="B903" s="15"/>
      <c r="C903" s="16"/>
      <c r="D903" s="15"/>
      <c r="E903" s="26"/>
      <c r="F903" s="16"/>
      <c r="G903" s="26"/>
      <c r="H903" s="16"/>
      <c r="I903" s="26"/>
      <c r="J903" s="16"/>
      <c r="K903" s="26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spans="1:31" ht="17.25" customHeight="1" x14ac:dyDescent="0.25">
      <c r="A904" s="15"/>
      <c r="B904" s="15"/>
      <c r="C904" s="16"/>
      <c r="D904" s="15"/>
      <c r="E904" s="26"/>
      <c r="F904" s="16"/>
      <c r="G904" s="26"/>
      <c r="H904" s="16"/>
      <c r="I904" s="26"/>
      <c r="J904" s="16"/>
      <c r="K904" s="26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spans="1:31" ht="17.25" customHeight="1" x14ac:dyDescent="0.25">
      <c r="A905" s="15"/>
      <c r="B905" s="15"/>
      <c r="C905" s="16"/>
      <c r="D905" s="15"/>
      <c r="E905" s="26"/>
      <c r="F905" s="16"/>
      <c r="G905" s="26"/>
      <c r="H905" s="16"/>
      <c r="I905" s="26"/>
      <c r="J905" s="16"/>
      <c r="K905" s="26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spans="1:31" ht="17.25" customHeight="1" x14ac:dyDescent="0.25">
      <c r="A906" s="15"/>
      <c r="B906" s="15"/>
      <c r="C906" s="16"/>
      <c r="D906" s="15"/>
      <c r="E906" s="26"/>
      <c r="F906" s="16"/>
      <c r="G906" s="26"/>
      <c r="H906" s="16"/>
      <c r="I906" s="26"/>
      <c r="J906" s="16"/>
      <c r="K906" s="26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spans="1:31" ht="17.25" customHeight="1" x14ac:dyDescent="0.25">
      <c r="A907" s="15"/>
      <c r="B907" s="15"/>
      <c r="C907" s="16"/>
      <c r="D907" s="15"/>
      <c r="E907" s="26"/>
      <c r="F907" s="16"/>
      <c r="G907" s="26"/>
      <c r="H907" s="16"/>
      <c r="I907" s="26"/>
      <c r="J907" s="16"/>
      <c r="K907" s="26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spans="1:31" ht="17.25" customHeight="1" x14ac:dyDescent="0.25">
      <c r="A908" s="15"/>
      <c r="B908" s="15"/>
      <c r="C908" s="16"/>
      <c r="D908" s="15"/>
      <c r="E908" s="26"/>
      <c r="F908" s="16"/>
      <c r="G908" s="26"/>
      <c r="H908" s="16"/>
      <c r="I908" s="26"/>
      <c r="J908" s="16"/>
      <c r="K908" s="26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spans="1:31" ht="17.25" customHeight="1" x14ac:dyDescent="0.25">
      <c r="A909" s="15"/>
      <c r="B909" s="15"/>
      <c r="C909" s="16"/>
      <c r="D909" s="15"/>
      <c r="E909" s="26"/>
      <c r="F909" s="16"/>
      <c r="G909" s="26"/>
      <c r="H909" s="16"/>
      <c r="I909" s="26"/>
      <c r="J909" s="16"/>
      <c r="K909" s="26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spans="1:31" ht="17.25" customHeight="1" x14ac:dyDescent="0.25">
      <c r="A910" s="15"/>
      <c r="B910" s="15"/>
      <c r="C910" s="16"/>
      <c r="D910" s="15"/>
      <c r="E910" s="26"/>
      <c r="F910" s="16"/>
      <c r="G910" s="26"/>
      <c r="H910" s="16"/>
      <c r="I910" s="26"/>
      <c r="J910" s="16"/>
      <c r="K910" s="26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spans="1:31" ht="17.25" customHeight="1" x14ac:dyDescent="0.25">
      <c r="A911" s="15"/>
      <c r="B911" s="15"/>
      <c r="C911" s="16"/>
      <c r="D911" s="15"/>
      <c r="E911" s="26"/>
      <c r="F911" s="16"/>
      <c r="G911" s="26"/>
      <c r="H911" s="16"/>
      <c r="I911" s="26"/>
      <c r="J911" s="16"/>
      <c r="K911" s="26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spans="1:31" ht="17.25" customHeight="1" x14ac:dyDescent="0.25">
      <c r="A912" s="15"/>
      <c r="B912" s="15"/>
      <c r="C912" s="16"/>
      <c r="D912" s="15"/>
      <c r="E912" s="26"/>
      <c r="F912" s="16"/>
      <c r="G912" s="26"/>
      <c r="H912" s="16"/>
      <c r="I912" s="26"/>
      <c r="J912" s="16"/>
      <c r="K912" s="26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spans="1:31" ht="17.25" customHeight="1" x14ac:dyDescent="0.25">
      <c r="A913" s="15"/>
      <c r="B913" s="15"/>
      <c r="C913" s="16"/>
      <c r="D913" s="15"/>
      <c r="E913" s="26"/>
      <c r="F913" s="16"/>
      <c r="G913" s="26"/>
      <c r="H913" s="16"/>
      <c r="I913" s="26"/>
      <c r="J913" s="16"/>
      <c r="K913" s="26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spans="1:31" ht="17.25" customHeight="1" x14ac:dyDescent="0.25">
      <c r="A914" s="15"/>
      <c r="B914" s="15"/>
      <c r="C914" s="16"/>
      <c r="D914" s="15"/>
      <c r="E914" s="26"/>
      <c r="F914" s="16"/>
      <c r="G914" s="26"/>
      <c r="H914" s="16"/>
      <c r="I914" s="26"/>
      <c r="J914" s="16"/>
      <c r="K914" s="26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spans="1:31" ht="17.25" customHeight="1" x14ac:dyDescent="0.25">
      <c r="A915" s="15"/>
      <c r="B915" s="15"/>
      <c r="C915" s="16"/>
      <c r="D915" s="15"/>
      <c r="E915" s="26"/>
      <c r="F915" s="16"/>
      <c r="G915" s="26"/>
      <c r="H915" s="16"/>
      <c r="I915" s="26"/>
      <c r="J915" s="16"/>
      <c r="K915" s="26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spans="1:31" ht="17.25" customHeight="1" x14ac:dyDescent="0.25">
      <c r="A916" s="15"/>
      <c r="B916" s="15"/>
      <c r="C916" s="16"/>
      <c r="D916" s="15"/>
      <c r="E916" s="26"/>
      <c r="F916" s="16"/>
      <c r="G916" s="26"/>
      <c r="H916" s="16"/>
      <c r="I916" s="26"/>
      <c r="J916" s="16"/>
      <c r="K916" s="26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spans="1:31" ht="17.25" customHeight="1" x14ac:dyDescent="0.25">
      <c r="A917" s="15"/>
      <c r="B917" s="15"/>
      <c r="C917" s="16"/>
      <c r="D917" s="15"/>
      <c r="E917" s="26"/>
      <c r="F917" s="16"/>
      <c r="G917" s="26"/>
      <c r="H917" s="16"/>
      <c r="I917" s="26"/>
      <c r="J917" s="16"/>
      <c r="K917" s="26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spans="1:31" ht="17.25" customHeight="1" x14ac:dyDescent="0.25">
      <c r="A918" s="15"/>
      <c r="B918" s="15"/>
      <c r="C918" s="16"/>
      <c r="D918" s="15"/>
      <c r="E918" s="26"/>
      <c r="F918" s="16"/>
      <c r="G918" s="26"/>
      <c r="H918" s="16"/>
      <c r="I918" s="26"/>
      <c r="J918" s="16"/>
      <c r="K918" s="26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spans="1:31" ht="17.25" customHeight="1" x14ac:dyDescent="0.25">
      <c r="A919" s="15"/>
      <c r="B919" s="15"/>
      <c r="C919" s="16"/>
      <c r="D919" s="15"/>
      <c r="E919" s="26"/>
      <c r="F919" s="16"/>
      <c r="G919" s="26"/>
      <c r="H919" s="16"/>
      <c r="I919" s="26"/>
      <c r="J919" s="16"/>
      <c r="K919" s="26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spans="1:31" ht="17.25" customHeight="1" x14ac:dyDescent="0.25">
      <c r="A920" s="15"/>
      <c r="B920" s="15"/>
      <c r="C920" s="16"/>
      <c r="D920" s="15"/>
      <c r="E920" s="26"/>
      <c r="F920" s="16"/>
      <c r="G920" s="26"/>
      <c r="H920" s="16"/>
      <c r="I920" s="26"/>
      <c r="J920" s="16"/>
      <c r="K920" s="26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spans="1:31" ht="17.25" customHeight="1" x14ac:dyDescent="0.25">
      <c r="A921" s="15"/>
      <c r="B921" s="15"/>
      <c r="C921" s="16"/>
      <c r="D921" s="15"/>
      <c r="E921" s="26"/>
      <c r="F921" s="16"/>
      <c r="G921" s="26"/>
      <c r="H921" s="16"/>
      <c r="I921" s="26"/>
      <c r="J921" s="16"/>
      <c r="K921" s="26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spans="1:31" ht="17.25" customHeight="1" x14ac:dyDescent="0.25">
      <c r="A922" s="15"/>
      <c r="B922" s="15"/>
      <c r="C922" s="16"/>
      <c r="D922" s="15"/>
      <c r="E922" s="26"/>
      <c r="F922" s="16"/>
      <c r="G922" s="26"/>
      <c r="H922" s="16"/>
      <c r="I922" s="26"/>
      <c r="J922" s="16"/>
      <c r="K922" s="26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spans="1:31" ht="17.25" customHeight="1" x14ac:dyDescent="0.25">
      <c r="A923" s="15"/>
      <c r="B923" s="15"/>
      <c r="C923" s="16"/>
      <c r="D923" s="15"/>
      <c r="E923" s="26"/>
      <c r="F923" s="16"/>
      <c r="G923" s="26"/>
      <c r="H923" s="16"/>
      <c r="I923" s="26"/>
      <c r="J923" s="16"/>
      <c r="K923" s="26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spans="1:31" ht="17.25" customHeight="1" x14ac:dyDescent="0.25">
      <c r="A924" s="15"/>
      <c r="B924" s="15"/>
      <c r="C924" s="16"/>
      <c r="D924" s="15"/>
      <c r="E924" s="26"/>
      <c r="F924" s="16"/>
      <c r="G924" s="26"/>
      <c r="H924" s="16"/>
      <c r="I924" s="26"/>
      <c r="J924" s="16"/>
      <c r="K924" s="26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spans="1:31" ht="17.25" customHeight="1" x14ac:dyDescent="0.25">
      <c r="A925" s="15"/>
      <c r="B925" s="15"/>
      <c r="C925" s="16"/>
      <c r="D925" s="15"/>
      <c r="E925" s="26"/>
      <c r="F925" s="16"/>
      <c r="G925" s="26"/>
      <c r="H925" s="16"/>
      <c r="I925" s="26"/>
      <c r="J925" s="16"/>
      <c r="K925" s="26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spans="1:31" ht="17.25" customHeight="1" x14ac:dyDescent="0.25">
      <c r="A926" s="15"/>
      <c r="B926" s="15"/>
      <c r="C926" s="16"/>
      <c r="D926" s="15"/>
      <c r="E926" s="26"/>
      <c r="F926" s="16"/>
      <c r="G926" s="26"/>
      <c r="H926" s="16"/>
      <c r="I926" s="26"/>
      <c r="J926" s="16"/>
      <c r="K926" s="26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spans="1:31" ht="17.25" customHeight="1" x14ac:dyDescent="0.25">
      <c r="A927" s="15"/>
      <c r="B927" s="15"/>
      <c r="C927" s="16"/>
      <c r="D927" s="15"/>
      <c r="E927" s="26"/>
      <c r="F927" s="16"/>
      <c r="G927" s="26"/>
      <c r="H927" s="16"/>
      <c r="I927" s="26"/>
      <c r="J927" s="16"/>
      <c r="K927" s="26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spans="1:31" ht="17.25" customHeight="1" x14ac:dyDescent="0.25">
      <c r="A928" s="15"/>
      <c r="B928" s="15"/>
      <c r="C928" s="16"/>
      <c r="D928" s="15"/>
      <c r="E928" s="26"/>
      <c r="F928" s="16"/>
      <c r="G928" s="26"/>
      <c r="H928" s="16"/>
      <c r="I928" s="26"/>
      <c r="J928" s="16"/>
      <c r="K928" s="26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spans="1:31" ht="17.25" customHeight="1" x14ac:dyDescent="0.25">
      <c r="A929" s="15"/>
      <c r="B929" s="15"/>
      <c r="C929" s="16"/>
      <c r="D929" s="15"/>
      <c r="E929" s="26"/>
      <c r="F929" s="16"/>
      <c r="G929" s="26"/>
      <c r="H929" s="16"/>
      <c r="I929" s="26"/>
      <c r="J929" s="16"/>
      <c r="K929" s="26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spans="1:31" ht="17.25" customHeight="1" x14ac:dyDescent="0.25">
      <c r="A930" s="15"/>
      <c r="B930" s="15"/>
      <c r="C930" s="16"/>
      <c r="D930" s="15"/>
      <c r="E930" s="26"/>
      <c r="F930" s="16"/>
      <c r="G930" s="26"/>
      <c r="H930" s="16"/>
      <c r="I930" s="26"/>
      <c r="J930" s="16"/>
      <c r="K930" s="26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spans="1:31" ht="17.25" customHeight="1" x14ac:dyDescent="0.25">
      <c r="A931" s="15"/>
      <c r="B931" s="15"/>
      <c r="C931" s="16"/>
      <c r="D931" s="15"/>
      <c r="E931" s="26"/>
      <c r="F931" s="16"/>
      <c r="G931" s="26"/>
      <c r="H931" s="16"/>
      <c r="I931" s="26"/>
      <c r="J931" s="16"/>
      <c r="K931" s="26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spans="1:31" ht="17.25" customHeight="1" x14ac:dyDescent="0.25">
      <c r="A932" s="15"/>
      <c r="B932" s="15"/>
      <c r="C932" s="16"/>
      <c r="D932" s="15"/>
      <c r="E932" s="26"/>
      <c r="F932" s="16"/>
      <c r="G932" s="26"/>
      <c r="H932" s="16"/>
      <c r="I932" s="26"/>
      <c r="J932" s="16"/>
      <c r="K932" s="26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spans="1:31" ht="17.25" customHeight="1" x14ac:dyDescent="0.25">
      <c r="A933" s="15"/>
      <c r="B933" s="15"/>
      <c r="C933" s="16"/>
      <c r="D933" s="15"/>
      <c r="E933" s="26"/>
      <c r="F933" s="16"/>
      <c r="G933" s="26"/>
      <c r="H933" s="16"/>
      <c r="I933" s="26"/>
      <c r="J933" s="16"/>
      <c r="K933" s="26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spans="1:31" ht="17.25" customHeight="1" x14ac:dyDescent="0.25">
      <c r="A934" s="15"/>
      <c r="B934" s="15"/>
      <c r="C934" s="16"/>
      <c r="D934" s="15"/>
      <c r="E934" s="26"/>
      <c r="F934" s="16"/>
      <c r="G934" s="26"/>
      <c r="H934" s="16"/>
      <c r="I934" s="26"/>
      <c r="J934" s="16"/>
      <c r="K934" s="26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spans="1:31" ht="17.25" customHeight="1" x14ac:dyDescent="0.25">
      <c r="A935" s="15"/>
      <c r="B935" s="15"/>
      <c r="C935" s="16"/>
      <c r="D935" s="15"/>
      <c r="E935" s="26"/>
      <c r="F935" s="16"/>
      <c r="G935" s="26"/>
      <c r="H935" s="16"/>
      <c r="I935" s="26"/>
      <c r="J935" s="16"/>
      <c r="K935" s="26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spans="1:31" ht="17.25" customHeight="1" x14ac:dyDescent="0.25">
      <c r="A936" s="15"/>
      <c r="B936" s="15"/>
      <c r="C936" s="16"/>
      <c r="D936" s="15"/>
      <c r="E936" s="26"/>
      <c r="F936" s="16"/>
      <c r="G936" s="26"/>
      <c r="H936" s="16"/>
      <c r="I936" s="26"/>
      <c r="J936" s="16"/>
      <c r="K936" s="26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spans="1:31" ht="17.25" customHeight="1" x14ac:dyDescent="0.25">
      <c r="A937" s="15"/>
      <c r="B937" s="15"/>
      <c r="C937" s="16"/>
      <c r="D937" s="15"/>
      <c r="E937" s="26"/>
      <c r="F937" s="16"/>
      <c r="G937" s="26"/>
      <c r="H937" s="16"/>
      <c r="I937" s="26"/>
      <c r="J937" s="16"/>
      <c r="K937" s="26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spans="1:31" ht="17.25" customHeight="1" x14ac:dyDescent="0.25">
      <c r="A938" s="15"/>
      <c r="B938" s="15"/>
      <c r="C938" s="16"/>
      <c r="D938" s="15"/>
      <c r="E938" s="26"/>
      <c r="F938" s="16"/>
      <c r="G938" s="26"/>
      <c r="H938" s="16"/>
      <c r="I938" s="26"/>
      <c r="J938" s="16"/>
      <c r="K938" s="26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spans="1:31" ht="17.25" customHeight="1" x14ac:dyDescent="0.25">
      <c r="A939" s="15"/>
      <c r="B939" s="15"/>
      <c r="C939" s="16"/>
      <c r="D939" s="15"/>
      <c r="E939" s="26"/>
      <c r="F939" s="16"/>
      <c r="G939" s="26"/>
      <c r="H939" s="16"/>
      <c r="I939" s="26"/>
      <c r="J939" s="16"/>
      <c r="K939" s="26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spans="1:31" ht="17.25" customHeight="1" x14ac:dyDescent="0.25">
      <c r="A940" s="15"/>
      <c r="B940" s="15"/>
      <c r="C940" s="16"/>
      <c r="D940" s="15"/>
      <c r="E940" s="26"/>
      <c r="F940" s="16"/>
      <c r="G940" s="26"/>
      <c r="H940" s="16"/>
      <c r="I940" s="26"/>
      <c r="J940" s="16"/>
      <c r="K940" s="26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spans="1:31" ht="17.25" customHeight="1" x14ac:dyDescent="0.25">
      <c r="A941" s="15"/>
      <c r="B941" s="15"/>
      <c r="C941" s="16"/>
      <c r="D941" s="15"/>
      <c r="E941" s="26"/>
      <c r="F941" s="16"/>
      <c r="G941" s="26"/>
      <c r="H941" s="16"/>
      <c r="I941" s="26"/>
      <c r="J941" s="16"/>
      <c r="K941" s="26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spans="1:31" ht="17.25" customHeight="1" x14ac:dyDescent="0.25">
      <c r="A942" s="15"/>
      <c r="B942" s="15"/>
      <c r="C942" s="16"/>
      <c r="D942" s="15"/>
      <c r="E942" s="26"/>
      <c r="F942" s="16"/>
      <c r="G942" s="26"/>
      <c r="H942" s="16"/>
      <c r="I942" s="26"/>
      <c r="J942" s="16"/>
      <c r="K942" s="26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spans="1:31" ht="17.25" customHeight="1" x14ac:dyDescent="0.25">
      <c r="A943" s="15"/>
      <c r="B943" s="15"/>
      <c r="C943" s="16"/>
      <c r="D943" s="15"/>
      <c r="E943" s="26"/>
      <c r="F943" s="16"/>
      <c r="G943" s="26"/>
      <c r="H943" s="16"/>
      <c r="I943" s="26"/>
      <c r="J943" s="16"/>
      <c r="K943" s="26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spans="1:31" ht="17.25" customHeight="1" x14ac:dyDescent="0.25">
      <c r="A944" s="15"/>
      <c r="B944" s="15"/>
      <c r="C944" s="16"/>
      <c r="D944" s="15"/>
      <c r="E944" s="26"/>
      <c r="F944" s="16"/>
      <c r="G944" s="26"/>
      <c r="H944" s="16"/>
      <c r="I944" s="26"/>
      <c r="J944" s="16"/>
      <c r="K944" s="26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17.25" customHeight="1" x14ac:dyDescent="0.25">
      <c r="A945" s="15"/>
      <c r="B945" s="15"/>
      <c r="C945" s="16"/>
      <c r="D945" s="15"/>
      <c r="E945" s="26"/>
      <c r="F945" s="16"/>
      <c r="G945" s="26"/>
      <c r="H945" s="16"/>
      <c r="I945" s="26"/>
      <c r="J945" s="16"/>
      <c r="K945" s="26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spans="1:31" ht="17.25" customHeight="1" x14ac:dyDescent="0.25">
      <c r="A946" s="15"/>
      <c r="B946" s="15"/>
      <c r="C946" s="16"/>
      <c r="D946" s="15"/>
      <c r="E946" s="26"/>
      <c r="F946" s="16"/>
      <c r="G946" s="26"/>
      <c r="H946" s="16"/>
      <c r="I946" s="26"/>
      <c r="J946" s="16"/>
      <c r="K946" s="26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spans="1:31" ht="17.25" customHeight="1" x14ac:dyDescent="0.25">
      <c r="A947" s="15"/>
      <c r="B947" s="15"/>
      <c r="C947" s="16"/>
      <c r="D947" s="15"/>
      <c r="E947" s="26"/>
      <c r="F947" s="16"/>
      <c r="G947" s="26"/>
      <c r="H947" s="16"/>
      <c r="I947" s="26"/>
      <c r="J947" s="16"/>
      <c r="K947" s="26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spans="1:31" ht="17.25" customHeight="1" x14ac:dyDescent="0.25">
      <c r="A948" s="15"/>
      <c r="B948" s="15"/>
      <c r="C948" s="16"/>
      <c r="D948" s="15"/>
      <c r="E948" s="26"/>
      <c r="F948" s="16"/>
      <c r="G948" s="26"/>
      <c r="H948" s="16"/>
      <c r="I948" s="26"/>
      <c r="J948" s="16"/>
      <c r="K948" s="26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spans="1:31" ht="17.25" customHeight="1" x14ac:dyDescent="0.25">
      <c r="A949" s="15"/>
      <c r="B949" s="15"/>
      <c r="C949" s="16"/>
      <c r="D949" s="15"/>
      <c r="E949" s="26"/>
      <c r="F949" s="16"/>
      <c r="G949" s="26"/>
      <c r="H949" s="16"/>
      <c r="I949" s="26"/>
      <c r="J949" s="16"/>
      <c r="K949" s="26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spans="1:31" ht="17.25" customHeight="1" x14ac:dyDescent="0.25">
      <c r="A950" s="15"/>
      <c r="B950" s="15"/>
      <c r="C950" s="16"/>
      <c r="D950" s="15"/>
      <c r="E950" s="26"/>
      <c r="F950" s="16"/>
      <c r="G950" s="26"/>
      <c r="H950" s="16"/>
      <c r="I950" s="26"/>
      <c r="J950" s="16"/>
      <c r="K950" s="26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spans="1:31" ht="17.25" customHeight="1" x14ac:dyDescent="0.25">
      <c r="A951" s="15"/>
      <c r="B951" s="15"/>
      <c r="C951" s="16"/>
      <c r="D951" s="15"/>
      <c r="E951" s="26"/>
      <c r="F951" s="16"/>
      <c r="G951" s="26"/>
      <c r="H951" s="16"/>
      <c r="I951" s="26"/>
      <c r="J951" s="16"/>
      <c r="K951" s="26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spans="1:31" ht="17.25" customHeight="1" x14ac:dyDescent="0.25">
      <c r="A952" s="15"/>
      <c r="B952" s="15"/>
      <c r="C952" s="16"/>
      <c r="D952" s="15"/>
      <c r="E952" s="26"/>
      <c r="F952" s="16"/>
      <c r="G952" s="26"/>
      <c r="H952" s="16"/>
      <c r="I952" s="26"/>
      <c r="J952" s="16"/>
      <c r="K952" s="26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17.25" customHeight="1" x14ac:dyDescent="0.25">
      <c r="A953" s="15"/>
      <c r="B953" s="15"/>
      <c r="C953" s="16"/>
      <c r="D953" s="15"/>
      <c r="E953" s="26"/>
      <c r="F953" s="16"/>
      <c r="G953" s="26"/>
      <c r="H953" s="16"/>
      <c r="I953" s="26"/>
      <c r="J953" s="16"/>
      <c r="K953" s="26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spans="1:31" ht="17.25" customHeight="1" x14ac:dyDescent="0.25">
      <c r="A954" s="15"/>
      <c r="B954" s="15"/>
      <c r="C954" s="16"/>
      <c r="D954" s="15"/>
      <c r="E954" s="26"/>
      <c r="F954" s="16"/>
      <c r="G954" s="26"/>
      <c r="H954" s="16"/>
      <c r="I954" s="26"/>
      <c r="J954" s="16"/>
      <c r="K954" s="26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spans="1:31" ht="17.25" customHeight="1" x14ac:dyDescent="0.25">
      <c r="A955" s="15"/>
      <c r="B955" s="15"/>
      <c r="C955" s="16"/>
      <c r="D955" s="15"/>
      <c r="E955" s="26"/>
      <c r="F955" s="16"/>
      <c r="G955" s="26"/>
      <c r="H955" s="16"/>
      <c r="I955" s="26"/>
      <c r="J955" s="16"/>
      <c r="K955" s="26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spans="1:31" ht="17.25" customHeight="1" x14ac:dyDescent="0.25">
      <c r="A956" s="15"/>
      <c r="B956" s="15"/>
      <c r="C956" s="16"/>
      <c r="D956" s="15"/>
      <c r="E956" s="26"/>
      <c r="F956" s="16"/>
      <c r="G956" s="26"/>
      <c r="H956" s="16"/>
      <c r="I956" s="26"/>
      <c r="J956" s="16"/>
      <c r="K956" s="26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spans="1:31" ht="17.25" customHeight="1" x14ac:dyDescent="0.25">
      <c r="A957" s="15"/>
      <c r="B957" s="15"/>
      <c r="C957" s="16"/>
      <c r="D957" s="15"/>
      <c r="E957" s="26"/>
      <c r="F957" s="16"/>
      <c r="G957" s="26"/>
      <c r="H957" s="16"/>
      <c r="I957" s="26"/>
      <c r="J957" s="16"/>
      <c r="K957" s="26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spans="1:31" ht="17.25" customHeight="1" x14ac:dyDescent="0.25">
      <c r="A958" s="15"/>
      <c r="B958" s="15"/>
      <c r="C958" s="16"/>
      <c r="D958" s="15"/>
      <c r="E958" s="26"/>
      <c r="F958" s="16"/>
      <c r="G958" s="26"/>
      <c r="H958" s="16"/>
      <c r="I958" s="26"/>
      <c r="J958" s="16"/>
      <c r="K958" s="26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spans="1:31" ht="17.25" customHeight="1" x14ac:dyDescent="0.25">
      <c r="A959" s="15"/>
      <c r="B959" s="15"/>
      <c r="C959" s="16"/>
      <c r="D959" s="15"/>
      <c r="E959" s="26"/>
      <c r="F959" s="16"/>
      <c r="G959" s="26"/>
      <c r="H959" s="16"/>
      <c r="I959" s="26"/>
      <c r="J959" s="16"/>
      <c r="K959" s="26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spans="1:31" ht="17.25" customHeight="1" x14ac:dyDescent="0.25">
      <c r="A960" s="15"/>
      <c r="B960" s="15"/>
      <c r="C960" s="16"/>
      <c r="D960" s="15"/>
      <c r="E960" s="26"/>
      <c r="F960" s="16"/>
      <c r="G960" s="26"/>
      <c r="H960" s="16"/>
      <c r="I960" s="26"/>
      <c r="J960" s="16"/>
      <c r="K960" s="26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spans="1:31" ht="17.25" customHeight="1" x14ac:dyDescent="0.25">
      <c r="A961" s="15"/>
      <c r="B961" s="15"/>
      <c r="C961" s="16"/>
      <c r="D961" s="15"/>
      <c r="E961" s="26"/>
      <c r="F961" s="16"/>
      <c r="G961" s="26"/>
      <c r="H961" s="16"/>
      <c r="I961" s="26"/>
      <c r="J961" s="16"/>
      <c r="K961" s="26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spans="1:31" ht="17.25" customHeight="1" x14ac:dyDescent="0.25">
      <c r="A962" s="15"/>
      <c r="B962" s="15"/>
      <c r="C962" s="16"/>
      <c r="D962" s="15"/>
      <c r="E962" s="26"/>
      <c r="F962" s="16"/>
      <c r="G962" s="26"/>
      <c r="H962" s="16"/>
      <c r="I962" s="26"/>
      <c r="J962" s="16"/>
      <c r="K962" s="26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spans="1:31" ht="17.25" customHeight="1" x14ac:dyDescent="0.25">
      <c r="A963" s="15"/>
      <c r="B963" s="15"/>
      <c r="C963" s="16"/>
      <c r="D963" s="15"/>
      <c r="E963" s="26"/>
      <c r="F963" s="16"/>
      <c r="G963" s="26"/>
      <c r="H963" s="16"/>
      <c r="I963" s="26"/>
      <c r="J963" s="16"/>
      <c r="K963" s="26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spans="1:31" ht="17.25" customHeight="1" x14ac:dyDescent="0.25">
      <c r="A964" s="15"/>
      <c r="B964" s="15"/>
      <c r="C964" s="16"/>
      <c r="D964" s="15"/>
      <c r="E964" s="26"/>
      <c r="F964" s="16"/>
      <c r="G964" s="26"/>
      <c r="H964" s="16"/>
      <c r="I964" s="26"/>
      <c r="J964" s="16"/>
      <c r="K964" s="26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spans="1:31" ht="17.25" customHeight="1" x14ac:dyDescent="0.25">
      <c r="A965" s="15"/>
      <c r="B965" s="15"/>
      <c r="C965" s="16"/>
      <c r="D965" s="15"/>
      <c r="E965" s="26"/>
      <c r="F965" s="16"/>
      <c r="G965" s="26"/>
      <c r="H965" s="16"/>
      <c r="I965" s="26"/>
      <c r="J965" s="16"/>
      <c r="K965" s="26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spans="1:31" ht="17.25" customHeight="1" x14ac:dyDescent="0.25">
      <c r="A966" s="15"/>
      <c r="B966" s="15"/>
      <c r="C966" s="16"/>
      <c r="D966" s="15"/>
      <c r="E966" s="26"/>
      <c r="F966" s="16"/>
      <c r="G966" s="26"/>
      <c r="H966" s="16"/>
      <c r="I966" s="26"/>
      <c r="J966" s="16"/>
      <c r="K966" s="26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spans="1:31" ht="17.25" customHeight="1" x14ac:dyDescent="0.25">
      <c r="A967" s="15"/>
      <c r="B967" s="15"/>
      <c r="C967" s="16"/>
      <c r="D967" s="15"/>
      <c r="E967" s="26"/>
      <c r="F967" s="16"/>
      <c r="G967" s="26"/>
      <c r="H967" s="16"/>
      <c r="I967" s="26"/>
      <c r="J967" s="16"/>
      <c r="K967" s="26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spans="1:31" ht="17.25" customHeight="1" x14ac:dyDescent="0.25">
      <c r="A968" s="15"/>
      <c r="B968" s="15"/>
      <c r="C968" s="16"/>
      <c r="D968" s="15"/>
      <c r="E968" s="26"/>
      <c r="F968" s="16"/>
      <c r="G968" s="26"/>
      <c r="H968" s="16"/>
      <c r="I968" s="26"/>
      <c r="J968" s="16"/>
      <c r="K968" s="26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spans="1:31" ht="17.25" customHeight="1" x14ac:dyDescent="0.25">
      <c r="A969" s="15"/>
      <c r="B969" s="15"/>
      <c r="C969" s="16"/>
      <c r="D969" s="15"/>
      <c r="E969" s="26"/>
      <c r="F969" s="16"/>
      <c r="G969" s="26"/>
      <c r="H969" s="16"/>
      <c r="I969" s="26"/>
      <c r="J969" s="16"/>
      <c r="K969" s="26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spans="1:31" ht="17.25" customHeight="1" x14ac:dyDescent="0.25">
      <c r="A970" s="15"/>
      <c r="B970" s="15"/>
      <c r="C970" s="16"/>
      <c r="D970" s="15"/>
      <c r="E970" s="26"/>
      <c r="F970" s="16"/>
      <c r="G970" s="26"/>
      <c r="H970" s="16"/>
      <c r="I970" s="26"/>
      <c r="J970" s="16"/>
      <c r="K970" s="26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spans="1:31" ht="17.25" customHeight="1" x14ac:dyDescent="0.25">
      <c r="A971" s="15"/>
      <c r="B971" s="15"/>
      <c r="C971" s="16"/>
      <c r="D971" s="15"/>
      <c r="E971" s="26"/>
      <c r="F971" s="16"/>
      <c r="G971" s="26"/>
      <c r="H971" s="16"/>
      <c r="I971" s="26"/>
      <c r="J971" s="16"/>
      <c r="K971" s="26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spans="1:31" ht="17.25" customHeight="1" x14ac:dyDescent="0.25">
      <c r="A972" s="15"/>
      <c r="B972" s="15"/>
      <c r="C972" s="16"/>
      <c r="D972" s="15"/>
      <c r="E972" s="26"/>
      <c r="F972" s="16"/>
      <c r="G972" s="26"/>
      <c r="H972" s="16"/>
      <c r="I972" s="26"/>
      <c r="J972" s="16"/>
      <c r="K972" s="26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spans="1:31" ht="17.25" customHeight="1" x14ac:dyDescent="0.25">
      <c r="A973" s="15"/>
      <c r="B973" s="15"/>
      <c r="C973" s="16"/>
      <c r="D973" s="15"/>
      <c r="E973" s="26"/>
      <c r="F973" s="16"/>
      <c r="G973" s="26"/>
      <c r="H973" s="16"/>
      <c r="I973" s="26"/>
      <c r="J973" s="16"/>
      <c r="K973" s="26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spans="1:31" ht="17.25" customHeight="1" x14ac:dyDescent="0.25">
      <c r="A974" s="15"/>
      <c r="B974" s="15"/>
      <c r="C974" s="16"/>
      <c r="D974" s="15"/>
      <c r="E974" s="26"/>
      <c r="F974" s="16"/>
      <c r="G974" s="26"/>
      <c r="H974" s="16"/>
      <c r="I974" s="26"/>
      <c r="J974" s="16"/>
      <c r="K974" s="26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spans="1:31" ht="17.25" customHeight="1" x14ac:dyDescent="0.25">
      <c r="A975" s="15"/>
      <c r="B975" s="15"/>
      <c r="C975" s="16"/>
      <c r="D975" s="15"/>
      <c r="E975" s="26"/>
      <c r="F975" s="16"/>
      <c r="G975" s="26"/>
      <c r="H975" s="16"/>
      <c r="I975" s="26"/>
      <c r="J975" s="16"/>
      <c r="K975" s="26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spans="1:31" ht="17.25" customHeight="1" x14ac:dyDescent="0.25">
      <c r="A976" s="15"/>
      <c r="B976" s="15"/>
      <c r="C976" s="16"/>
      <c r="D976" s="15"/>
      <c r="E976" s="26"/>
      <c r="F976" s="16"/>
      <c r="G976" s="26"/>
      <c r="H976" s="16"/>
      <c r="I976" s="26"/>
      <c r="J976" s="16"/>
      <c r="K976" s="26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spans="1:31" ht="17.25" customHeight="1" x14ac:dyDescent="0.25">
      <c r="A977" s="15"/>
      <c r="B977" s="15"/>
      <c r="C977" s="16"/>
      <c r="D977" s="15"/>
      <c r="E977" s="26"/>
      <c r="F977" s="16"/>
      <c r="G977" s="26"/>
      <c r="H977" s="16"/>
      <c r="I977" s="26"/>
      <c r="J977" s="16"/>
      <c r="K977" s="26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spans="1:31" ht="17.25" customHeight="1" x14ac:dyDescent="0.25">
      <c r="A978" s="15"/>
      <c r="B978" s="15"/>
      <c r="C978" s="16"/>
      <c r="D978" s="15"/>
      <c r="E978" s="26"/>
      <c r="F978" s="16"/>
      <c r="G978" s="26"/>
      <c r="H978" s="16"/>
      <c r="I978" s="26"/>
      <c r="J978" s="16"/>
      <c r="K978" s="26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spans="1:31" ht="17.25" customHeight="1" x14ac:dyDescent="0.25">
      <c r="A979" s="15"/>
      <c r="B979" s="15"/>
      <c r="C979" s="16"/>
      <c r="D979" s="15"/>
      <c r="E979" s="26"/>
      <c r="F979" s="16"/>
      <c r="G979" s="26"/>
      <c r="H979" s="16"/>
      <c r="I979" s="26"/>
      <c r="J979" s="16"/>
      <c r="K979" s="26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spans="1:31" ht="17.25" customHeight="1" x14ac:dyDescent="0.25">
      <c r="A980" s="15"/>
      <c r="B980" s="15"/>
      <c r="C980" s="16"/>
      <c r="D980" s="15"/>
      <c r="E980" s="26"/>
      <c r="F980" s="16"/>
      <c r="G980" s="26"/>
      <c r="H980" s="16"/>
      <c r="I980" s="26"/>
      <c r="J980" s="16"/>
      <c r="K980" s="26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spans="1:31" ht="17.25" customHeight="1" x14ac:dyDescent="0.25">
      <c r="A981" s="15"/>
      <c r="B981" s="15"/>
      <c r="C981" s="16"/>
      <c r="D981" s="15"/>
      <c r="E981" s="26"/>
      <c r="F981" s="16"/>
      <c r="G981" s="26"/>
      <c r="H981" s="16"/>
      <c r="I981" s="26"/>
      <c r="J981" s="16"/>
      <c r="K981" s="26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spans="1:31" ht="17.25" customHeight="1" x14ac:dyDescent="0.25">
      <c r="A982" s="15"/>
      <c r="B982" s="15"/>
      <c r="C982" s="16"/>
      <c r="D982" s="15"/>
      <c r="E982" s="26"/>
      <c r="F982" s="16"/>
      <c r="G982" s="26"/>
      <c r="H982" s="16"/>
      <c r="I982" s="26"/>
      <c r="J982" s="16"/>
      <c r="K982" s="26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spans="1:31" ht="17.25" customHeight="1" x14ac:dyDescent="0.25">
      <c r="A983" s="15"/>
      <c r="B983" s="15"/>
      <c r="C983" s="16"/>
      <c r="D983" s="15"/>
      <c r="E983" s="26"/>
      <c r="F983" s="16"/>
      <c r="G983" s="26"/>
      <c r="H983" s="16"/>
      <c r="I983" s="26"/>
      <c r="J983" s="16"/>
      <c r="K983" s="26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spans="1:31" ht="17.25" customHeight="1" x14ac:dyDescent="0.25">
      <c r="A984" s="15"/>
      <c r="B984" s="15"/>
      <c r="C984" s="16"/>
      <c r="D984" s="15"/>
      <c r="E984" s="26"/>
      <c r="F984" s="16"/>
      <c r="G984" s="26"/>
      <c r="H984" s="16"/>
      <c r="I984" s="26"/>
      <c r="J984" s="16"/>
      <c r="K984" s="26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spans="1:31" ht="17.25" customHeight="1" x14ac:dyDescent="0.25">
      <c r="A985" s="15"/>
      <c r="B985" s="15"/>
      <c r="C985" s="16"/>
      <c r="D985" s="15"/>
      <c r="E985" s="26"/>
      <c r="F985" s="16"/>
      <c r="G985" s="26"/>
      <c r="H985" s="16"/>
      <c r="I985" s="26"/>
      <c r="J985" s="16"/>
      <c r="K985" s="26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spans="1:31" ht="17.25" customHeight="1" x14ac:dyDescent="0.25">
      <c r="A986" s="15"/>
      <c r="B986" s="15"/>
      <c r="C986" s="16"/>
      <c r="D986" s="15"/>
      <c r="E986" s="26"/>
      <c r="F986" s="16"/>
      <c r="G986" s="26"/>
      <c r="H986" s="16"/>
      <c r="I986" s="26"/>
      <c r="J986" s="16"/>
      <c r="K986" s="26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spans="1:31" ht="17.25" customHeight="1" x14ac:dyDescent="0.25">
      <c r="A987" s="15"/>
      <c r="B987" s="15"/>
      <c r="C987" s="16"/>
      <c r="D987" s="15"/>
      <c r="E987" s="26"/>
      <c r="F987" s="16"/>
      <c r="G987" s="26"/>
      <c r="H987" s="16"/>
      <c r="I987" s="26"/>
      <c r="J987" s="16"/>
      <c r="K987" s="26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spans="1:31" ht="17.25" customHeight="1" x14ac:dyDescent="0.25">
      <c r="A988" s="15"/>
      <c r="B988" s="15"/>
      <c r="C988" s="16"/>
      <c r="D988" s="15"/>
      <c r="E988" s="26"/>
      <c r="F988" s="16"/>
      <c r="G988" s="26"/>
      <c r="H988" s="16"/>
      <c r="I988" s="26"/>
      <c r="J988" s="16"/>
      <c r="K988" s="26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spans="1:31" ht="17.25" customHeight="1" x14ac:dyDescent="0.25">
      <c r="A989" s="15"/>
      <c r="B989" s="15"/>
      <c r="C989" s="16"/>
      <c r="D989" s="15"/>
      <c r="E989" s="26"/>
      <c r="F989" s="16"/>
      <c r="G989" s="26"/>
      <c r="H989" s="16"/>
      <c r="I989" s="26"/>
      <c r="J989" s="16"/>
      <c r="K989" s="26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spans="1:31" ht="17.25" customHeight="1" x14ac:dyDescent="0.25">
      <c r="A990" s="15"/>
      <c r="B990" s="15"/>
      <c r="C990" s="16"/>
      <c r="D990" s="15"/>
      <c r="E990" s="26"/>
      <c r="F990" s="16"/>
      <c r="G990" s="26"/>
      <c r="H990" s="16"/>
      <c r="I990" s="26"/>
      <c r="J990" s="16"/>
      <c r="K990" s="26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spans="1:31" ht="17.25" customHeight="1" x14ac:dyDescent="0.25">
      <c r="A991" s="15"/>
      <c r="B991" s="15"/>
      <c r="C991" s="16"/>
      <c r="D991" s="15"/>
      <c r="E991" s="26"/>
      <c r="F991" s="16"/>
      <c r="G991" s="26"/>
      <c r="H991" s="16"/>
      <c r="I991" s="26"/>
      <c r="J991" s="16"/>
      <c r="K991" s="26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spans="1:31" ht="17.25" customHeight="1" x14ac:dyDescent="0.25">
      <c r="A992" s="15"/>
      <c r="B992" s="15"/>
      <c r="C992" s="16"/>
      <c r="D992" s="15"/>
      <c r="E992" s="26"/>
      <c r="F992" s="16"/>
      <c r="G992" s="26"/>
      <c r="H992" s="16"/>
      <c r="I992" s="26"/>
      <c r="J992" s="16"/>
      <c r="K992" s="26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spans="1:31" ht="17.25" customHeight="1" x14ac:dyDescent="0.25">
      <c r="A993" s="15"/>
      <c r="B993" s="15"/>
      <c r="C993" s="16"/>
      <c r="D993" s="15"/>
      <c r="E993" s="26"/>
      <c r="F993" s="16"/>
      <c r="G993" s="26"/>
      <c r="H993" s="16"/>
      <c r="I993" s="26"/>
      <c r="J993" s="16"/>
      <c r="K993" s="26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spans="1:31" ht="17.25" customHeight="1" x14ac:dyDescent="0.25">
      <c r="A994" s="15"/>
      <c r="B994" s="15"/>
      <c r="C994" s="16"/>
      <c r="D994" s="15"/>
      <c r="E994" s="26"/>
      <c r="F994" s="16"/>
      <c r="G994" s="26"/>
      <c r="H994" s="16"/>
      <c r="I994" s="26"/>
      <c r="J994" s="16"/>
      <c r="K994" s="26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spans="1:31" ht="17.25" customHeight="1" x14ac:dyDescent="0.25">
      <c r="A995" s="15"/>
      <c r="B995" s="15"/>
      <c r="C995" s="16"/>
      <c r="D995" s="15"/>
      <c r="E995" s="26"/>
      <c r="F995" s="16"/>
      <c r="G995" s="26"/>
      <c r="H995" s="16"/>
      <c r="I995" s="26"/>
      <c r="J995" s="16"/>
      <c r="K995" s="26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spans="1:31" ht="17.25" customHeight="1" x14ac:dyDescent="0.25">
      <c r="A996" s="15"/>
      <c r="B996" s="15"/>
      <c r="C996" s="16"/>
      <c r="D996" s="15"/>
      <c r="E996" s="26"/>
      <c r="F996" s="16"/>
      <c r="G996" s="26"/>
      <c r="H996" s="16"/>
      <c r="I996" s="26"/>
      <c r="J996" s="16"/>
      <c r="K996" s="26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spans="1:31" ht="17.25" customHeight="1" x14ac:dyDescent="0.25">
      <c r="A997" s="15"/>
      <c r="B997" s="15"/>
      <c r="C997" s="16"/>
      <c r="D997" s="15"/>
      <c r="E997" s="26"/>
      <c r="F997" s="16"/>
      <c r="G997" s="26"/>
      <c r="H997" s="16"/>
      <c r="I997" s="26"/>
      <c r="J997" s="16"/>
      <c r="K997" s="26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spans="1:31" ht="17.25" customHeight="1" x14ac:dyDescent="0.25">
      <c r="A998" s="15"/>
      <c r="B998" s="15"/>
      <c r="C998" s="16"/>
      <c r="D998" s="15"/>
      <c r="E998" s="26"/>
      <c r="F998" s="16"/>
      <c r="G998" s="26"/>
      <c r="H998" s="16"/>
      <c r="I998" s="26"/>
      <c r="J998" s="16"/>
      <c r="K998" s="26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spans="1:31" ht="17.25" customHeight="1" x14ac:dyDescent="0.25">
      <c r="A999" s="15"/>
      <c r="B999" s="15"/>
      <c r="C999" s="16"/>
      <c r="D999" s="15"/>
      <c r="E999" s="26"/>
      <c r="F999" s="16"/>
      <c r="G999" s="26"/>
      <c r="H999" s="16"/>
      <c r="I999" s="26"/>
      <c r="J999" s="16"/>
      <c r="K999" s="26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spans="1:31" ht="17.25" customHeight="1" x14ac:dyDescent="0.25">
      <c r="A1000" s="15"/>
      <c r="B1000" s="15"/>
      <c r="C1000" s="16"/>
      <c r="D1000" s="15"/>
      <c r="E1000" s="26"/>
      <c r="F1000" s="16"/>
      <c r="G1000" s="26"/>
      <c r="H1000" s="16"/>
      <c r="I1000" s="26"/>
      <c r="J1000" s="16"/>
      <c r="K1000" s="26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mergeCells count="1">
    <mergeCell ref="B2:C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19" workbookViewId="0">
      <selection activeCell="E3" sqref="E3"/>
    </sheetView>
  </sheetViews>
  <sheetFormatPr defaultColWidth="14.42578125" defaultRowHeight="15" customHeight="1" x14ac:dyDescent="0.25"/>
  <cols>
    <col min="1" max="1" width="1.5703125" style="37" customWidth="1"/>
    <col min="2" max="2" width="26" style="37" customWidth="1"/>
    <col min="3" max="3" width="30.7109375" style="37" customWidth="1"/>
    <col min="4" max="4" width="27.85546875" style="37" customWidth="1"/>
    <col min="5" max="5" width="29.140625" style="37" customWidth="1"/>
    <col min="6" max="26" width="3.85546875" style="37" customWidth="1"/>
  </cols>
  <sheetData>
    <row r="1" spans="1:26" ht="9.75" customHeight="1" x14ac:dyDescent="0.25">
      <c r="A1" s="1"/>
      <c r="B1" s="15"/>
      <c r="C1" s="15"/>
      <c r="D1" s="15"/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5">
      <c r="A2" s="1"/>
      <c r="B2" s="30" t="s">
        <v>234</v>
      </c>
      <c r="C2" s="31" t="s">
        <v>235</v>
      </c>
      <c r="D2" s="31" t="s">
        <v>236</v>
      </c>
      <c r="E2" s="32" t="s">
        <v>237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5">
      <c r="A3" s="1"/>
      <c r="B3" s="33"/>
      <c r="C3" s="34"/>
      <c r="D3" s="34"/>
      <c r="E3" s="3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5">
      <c r="A4" s="1"/>
      <c r="B4" s="33"/>
      <c r="C4" s="34"/>
      <c r="D4" s="34"/>
      <c r="E4" s="3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5">
      <c r="A5" s="1"/>
      <c r="B5" s="33"/>
      <c r="C5" s="34"/>
      <c r="D5" s="34"/>
      <c r="E5" s="3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1"/>
      <c r="B6" s="33"/>
      <c r="C6" s="34"/>
      <c r="D6" s="34"/>
      <c r="E6" s="3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5">
      <c r="A7" s="1"/>
      <c r="B7" s="33"/>
      <c r="C7" s="34"/>
      <c r="D7" s="34"/>
      <c r="E7" s="3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5">
      <c r="A8" s="1"/>
      <c r="B8" s="33"/>
      <c r="C8" s="34"/>
      <c r="D8" s="34"/>
      <c r="E8" s="3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5">
      <c r="A9" s="1"/>
      <c r="B9" s="33"/>
      <c r="C9" s="34"/>
      <c r="D9" s="34"/>
      <c r="E9" s="3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5">
      <c r="A10" s="1"/>
      <c r="B10" s="33"/>
      <c r="C10" s="34"/>
      <c r="D10" s="34"/>
      <c r="E10" s="3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5">
      <c r="A11" s="1"/>
      <c r="B11" s="33"/>
      <c r="C11" s="34"/>
      <c r="D11" s="34"/>
      <c r="E11" s="3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5">
      <c r="A12" s="1"/>
      <c r="B12" s="33"/>
      <c r="C12" s="34"/>
      <c r="D12" s="34"/>
      <c r="E12" s="3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5">
      <c r="A13" s="1"/>
      <c r="B13" s="33"/>
      <c r="C13" s="34"/>
      <c r="D13" s="34"/>
      <c r="E13" s="3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5">
      <c r="A14" s="1"/>
      <c r="B14" s="33"/>
      <c r="C14" s="34"/>
      <c r="D14" s="34"/>
      <c r="E14" s="3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5">
      <c r="A15" s="1"/>
      <c r="B15" s="33"/>
      <c r="C15" s="34"/>
      <c r="D15" s="34"/>
      <c r="E15" s="3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1"/>
      <c r="B16" s="33"/>
      <c r="C16" s="34"/>
      <c r="D16" s="34"/>
      <c r="E16" s="3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5">
      <c r="A17" s="1"/>
      <c r="B17" s="33"/>
      <c r="C17" s="34"/>
      <c r="D17" s="34"/>
      <c r="E17" s="3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5">
      <c r="A18" s="1"/>
      <c r="B18" s="33"/>
      <c r="C18" s="34"/>
      <c r="D18" s="34"/>
      <c r="E18" s="3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1"/>
      <c r="B19" s="33"/>
      <c r="C19" s="34"/>
      <c r="D19" s="34"/>
      <c r="E19" s="3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1"/>
      <c r="B20" s="33"/>
      <c r="C20" s="34"/>
      <c r="D20" s="34"/>
      <c r="E20" s="3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1"/>
      <c r="B21" s="33"/>
      <c r="C21" s="34"/>
      <c r="D21" s="34"/>
      <c r="E21" s="3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1"/>
      <c r="B22" s="33"/>
      <c r="C22" s="34"/>
      <c r="D22" s="34"/>
      <c r="E22" s="3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33"/>
      <c r="C23" s="34"/>
      <c r="D23" s="34"/>
      <c r="E23" s="3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33"/>
      <c r="C24" s="34"/>
      <c r="D24" s="34"/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33"/>
      <c r="C25" s="34"/>
      <c r="D25" s="34"/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33"/>
      <c r="C26" s="34"/>
      <c r="D26" s="34"/>
      <c r="E26" s="3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33"/>
      <c r="C27" s="34"/>
      <c r="D27" s="34"/>
      <c r="E27" s="3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33"/>
      <c r="C28" s="34"/>
      <c r="D28" s="34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33"/>
      <c r="C29" s="34"/>
      <c r="D29" s="34"/>
      <c r="E29" s="3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1"/>
      <c r="B30" s="33"/>
      <c r="C30" s="34"/>
      <c r="D30" s="34"/>
      <c r="E30" s="3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1"/>
      <c r="B31" s="33"/>
      <c r="C31" s="34"/>
      <c r="D31" s="34"/>
      <c r="E31" s="3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1"/>
      <c r="B32" s="33"/>
      <c r="C32" s="34"/>
      <c r="D32" s="34"/>
      <c r="E32" s="3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33"/>
      <c r="C33" s="34"/>
      <c r="D33" s="34"/>
      <c r="E33" s="3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33"/>
      <c r="C34" s="34"/>
      <c r="D34" s="34"/>
      <c r="E34" s="3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33"/>
      <c r="C35" s="34"/>
      <c r="D35" s="34"/>
      <c r="E35" s="3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25">
      <c r="A36" s="1"/>
      <c r="B36" s="33"/>
      <c r="C36" s="34"/>
      <c r="D36" s="34"/>
      <c r="E36" s="3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25">
      <c r="A37" s="1"/>
      <c r="B37" s="33"/>
      <c r="C37" s="34"/>
      <c r="D37" s="34"/>
      <c r="E37" s="3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25">
      <c r="A38" s="1"/>
      <c r="B38" s="33"/>
      <c r="C38" s="34"/>
      <c r="D38" s="34"/>
      <c r="E38" s="3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25">
      <c r="A39" s="1"/>
      <c r="B39" s="33"/>
      <c r="C39" s="34"/>
      <c r="D39" s="34"/>
      <c r="E39" s="3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25">
      <c r="A40" s="1"/>
      <c r="B40" s="33"/>
      <c r="C40" s="34"/>
      <c r="D40" s="34"/>
      <c r="E40" s="3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25">
      <c r="A41" s="1"/>
      <c r="B41" s="33"/>
      <c r="C41" s="34"/>
      <c r="D41" s="34"/>
      <c r="E41" s="3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25">
      <c r="A42" s="1"/>
      <c r="B42" s="33"/>
      <c r="C42" s="34"/>
      <c r="D42" s="34"/>
      <c r="E42" s="3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25">
      <c r="A43" s="1"/>
      <c r="B43" s="33"/>
      <c r="C43" s="34"/>
      <c r="D43" s="34"/>
      <c r="E43" s="3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25">
      <c r="A44" s="1"/>
      <c r="B44" s="33"/>
      <c r="C44" s="34"/>
      <c r="D44" s="34"/>
      <c r="E44" s="3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25">
      <c r="A45" s="1"/>
      <c r="B45" s="33"/>
      <c r="C45" s="34"/>
      <c r="D45" s="34"/>
      <c r="E45" s="3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25">
      <c r="A46" s="1"/>
      <c r="B46" s="33"/>
      <c r="C46" s="34"/>
      <c r="D46" s="34"/>
      <c r="E46" s="3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25">
      <c r="A47" s="1"/>
      <c r="B47" s="33"/>
      <c r="C47" s="34"/>
      <c r="D47" s="34"/>
      <c r="E47" s="3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25">
      <c r="A48" s="1"/>
      <c r="B48" s="33"/>
      <c r="C48" s="34"/>
      <c r="D48" s="34"/>
      <c r="E48" s="3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5">
      <c r="A49" s="1"/>
      <c r="B49" s="33"/>
      <c r="C49" s="34"/>
      <c r="D49" s="34"/>
      <c r="E49" s="3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5">
      <c r="A50" s="1"/>
      <c r="B50" s="33"/>
      <c r="C50" s="34"/>
      <c r="D50" s="34"/>
      <c r="E50" s="3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5">
      <c r="A51" s="1"/>
      <c r="B51" s="33"/>
      <c r="C51" s="34"/>
      <c r="D51" s="34"/>
      <c r="E51" s="3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5">
      <c r="A52" s="1"/>
      <c r="B52" s="33"/>
      <c r="C52" s="34"/>
      <c r="D52" s="34"/>
      <c r="E52" s="3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5">
      <c r="A53" s="1"/>
      <c r="B53" s="33"/>
      <c r="C53" s="34"/>
      <c r="D53" s="34"/>
      <c r="E53" s="3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25">
      <c r="A54" s="1"/>
      <c r="B54" s="33"/>
      <c r="C54" s="34"/>
      <c r="D54" s="34"/>
      <c r="E54" s="3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25">
      <c r="A55" s="1"/>
      <c r="B55" s="33"/>
      <c r="C55" s="34"/>
      <c r="D55" s="34"/>
      <c r="E55" s="3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25">
      <c r="A56" s="1"/>
      <c r="B56" s="33"/>
      <c r="C56" s="34"/>
      <c r="D56" s="34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25">
      <c r="A57" s="1"/>
      <c r="B57" s="33"/>
      <c r="C57" s="34"/>
      <c r="D57" s="34"/>
      <c r="E57" s="3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25">
      <c r="A58" s="1"/>
      <c r="B58" s="33"/>
      <c r="C58" s="34"/>
      <c r="D58" s="34"/>
      <c r="E58" s="3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25">
      <c r="A59" s="1"/>
      <c r="B59" s="33"/>
      <c r="C59" s="34"/>
      <c r="D59" s="34"/>
      <c r="E59" s="3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25">
      <c r="A60" s="1"/>
      <c r="B60" s="33"/>
      <c r="C60" s="34"/>
      <c r="D60" s="34"/>
      <c r="E60" s="3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25">
      <c r="A61" s="1"/>
      <c r="B61" s="33"/>
      <c r="C61" s="34"/>
      <c r="D61" s="34"/>
      <c r="E61" s="3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25">
      <c r="A62" s="1"/>
      <c r="B62" s="33"/>
      <c r="C62" s="34"/>
      <c r="D62" s="34"/>
      <c r="E62" s="3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25">
      <c r="A63" s="1"/>
      <c r="B63" s="33"/>
      <c r="C63" s="34"/>
      <c r="D63" s="34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25">
      <c r="A64" s="1"/>
      <c r="B64" s="33"/>
      <c r="C64" s="34"/>
      <c r="D64" s="34"/>
      <c r="E64" s="3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25">
      <c r="A65" s="1"/>
      <c r="B65" s="33"/>
      <c r="C65" s="34"/>
      <c r="D65" s="34"/>
      <c r="E65" s="3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25">
      <c r="A66" s="1"/>
      <c r="B66" s="33"/>
      <c r="C66" s="34"/>
      <c r="D66" s="34"/>
      <c r="E66" s="3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25">
      <c r="A67" s="1"/>
      <c r="B67" s="33"/>
      <c r="C67" s="34"/>
      <c r="D67" s="34"/>
      <c r="E67" s="3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25">
      <c r="A68" s="1"/>
      <c r="B68" s="33"/>
      <c r="C68" s="34"/>
      <c r="D68" s="34"/>
      <c r="E68" s="3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25">
      <c r="A69" s="1"/>
      <c r="B69" s="33"/>
      <c r="C69" s="34"/>
      <c r="D69" s="34"/>
      <c r="E69" s="3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25">
      <c r="A70" s="1"/>
      <c r="B70" s="33"/>
      <c r="C70" s="34"/>
      <c r="D70" s="34"/>
      <c r="E70" s="3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25">
      <c r="A71" s="1"/>
      <c r="B71" s="33"/>
      <c r="C71" s="34"/>
      <c r="D71" s="34"/>
      <c r="E71" s="3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25">
      <c r="A72" s="1"/>
      <c r="B72" s="33"/>
      <c r="C72" s="34"/>
      <c r="D72" s="34"/>
      <c r="E72" s="3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25">
      <c r="A73" s="1"/>
      <c r="B73" s="33"/>
      <c r="C73" s="34"/>
      <c r="D73" s="34"/>
      <c r="E73" s="3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25">
      <c r="A74" s="1"/>
      <c r="B74" s="33"/>
      <c r="C74" s="34"/>
      <c r="D74" s="34"/>
      <c r="E74" s="3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25">
      <c r="A75" s="1"/>
      <c r="B75" s="33"/>
      <c r="C75" s="34"/>
      <c r="D75" s="34"/>
      <c r="E75" s="3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25">
      <c r="A76" s="1"/>
      <c r="B76" s="33"/>
      <c r="C76" s="34"/>
      <c r="D76" s="34"/>
      <c r="E76" s="3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25">
      <c r="A77" s="1"/>
      <c r="B77" s="33"/>
      <c r="C77" s="34"/>
      <c r="D77" s="34"/>
      <c r="E77" s="3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25">
      <c r="A78" s="1"/>
      <c r="B78" s="33"/>
      <c r="C78" s="34"/>
      <c r="D78" s="34"/>
      <c r="E78" s="3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25">
      <c r="A79" s="1"/>
      <c r="B79" s="33"/>
      <c r="C79" s="34"/>
      <c r="D79" s="34"/>
      <c r="E79" s="3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25">
      <c r="A80" s="1"/>
      <c r="B80" s="33"/>
      <c r="C80" s="34"/>
      <c r="D80" s="34"/>
      <c r="E80" s="3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25">
      <c r="A81" s="1"/>
      <c r="B81" s="33"/>
      <c r="C81" s="34"/>
      <c r="D81" s="34"/>
      <c r="E81" s="3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25">
      <c r="A82" s="1"/>
      <c r="B82" s="33"/>
      <c r="C82" s="34"/>
      <c r="D82" s="34"/>
      <c r="E82" s="3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25">
      <c r="A83" s="1"/>
      <c r="B83" s="33"/>
      <c r="C83" s="34"/>
      <c r="D83" s="34"/>
      <c r="E83" s="3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25">
      <c r="A84" s="1"/>
      <c r="B84" s="33"/>
      <c r="C84" s="34"/>
      <c r="D84" s="34"/>
      <c r="E84" s="3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25">
      <c r="A85" s="1"/>
      <c r="B85" s="33"/>
      <c r="C85" s="34"/>
      <c r="D85" s="34"/>
      <c r="E85" s="3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25">
      <c r="A86" s="1"/>
      <c r="B86" s="33"/>
      <c r="C86" s="34"/>
      <c r="D86" s="34"/>
      <c r="E86" s="3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25">
      <c r="A87" s="1"/>
      <c r="B87" s="33"/>
      <c r="C87" s="34"/>
      <c r="D87" s="34"/>
      <c r="E87" s="3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25">
      <c r="A88" s="1"/>
      <c r="B88" s="33"/>
      <c r="C88" s="34"/>
      <c r="D88" s="34"/>
      <c r="E88" s="3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25">
      <c r="A89" s="1"/>
      <c r="B89" s="33"/>
      <c r="C89" s="34"/>
      <c r="D89" s="34"/>
      <c r="E89" s="3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25">
      <c r="A90" s="1"/>
      <c r="B90" s="33"/>
      <c r="C90" s="34"/>
      <c r="D90" s="34"/>
      <c r="E90" s="3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25">
      <c r="A91" s="1"/>
      <c r="B91" s="33"/>
      <c r="C91" s="34"/>
      <c r="D91" s="34"/>
      <c r="E91" s="3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25">
      <c r="A92" s="1"/>
      <c r="B92" s="33"/>
      <c r="C92" s="34"/>
      <c r="D92" s="34"/>
      <c r="E92" s="3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25">
      <c r="A93" s="1"/>
      <c r="B93" s="33"/>
      <c r="C93" s="34"/>
      <c r="D93" s="34"/>
      <c r="E93" s="3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25">
      <c r="A94" s="1"/>
      <c r="B94" s="33"/>
      <c r="C94" s="34"/>
      <c r="D94" s="34"/>
      <c r="E94" s="3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25">
      <c r="A95" s="1"/>
      <c r="B95" s="33"/>
      <c r="C95" s="34"/>
      <c r="D95" s="34"/>
      <c r="E95" s="3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25">
      <c r="A96" s="1"/>
      <c r="B96" s="33"/>
      <c r="C96" s="34"/>
      <c r="D96" s="34"/>
      <c r="E96" s="3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25">
      <c r="A97" s="1"/>
      <c r="B97" s="33"/>
      <c r="C97" s="34"/>
      <c r="D97" s="34"/>
      <c r="E97" s="3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25">
      <c r="A98" s="1"/>
      <c r="B98" s="33"/>
      <c r="C98" s="34"/>
      <c r="D98" s="34"/>
      <c r="E98" s="3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25">
      <c r="A99" s="1"/>
      <c r="B99" s="33"/>
      <c r="C99" s="34"/>
      <c r="D99" s="34"/>
      <c r="E99" s="3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25">
      <c r="A100" s="1"/>
      <c r="B100" s="33"/>
      <c r="C100" s="34"/>
      <c r="D100" s="34"/>
      <c r="E100" s="3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25">
      <c r="A101" s="1"/>
      <c r="B101" s="33"/>
      <c r="C101" s="34"/>
      <c r="D101" s="34"/>
      <c r="E101" s="3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25">
      <c r="A102" s="1"/>
      <c r="B102" s="33"/>
      <c r="C102" s="34"/>
      <c r="D102" s="34"/>
      <c r="E102" s="3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25">
      <c r="A103" s="1"/>
      <c r="B103" s="33"/>
      <c r="C103" s="34"/>
      <c r="D103" s="34"/>
      <c r="E103" s="3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25">
      <c r="A104" s="1"/>
      <c r="B104" s="33"/>
      <c r="C104" s="34"/>
      <c r="D104" s="34"/>
      <c r="E104" s="3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25">
      <c r="A105" s="1"/>
      <c r="B105" s="33"/>
      <c r="C105" s="34"/>
      <c r="D105" s="34"/>
      <c r="E105" s="3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25">
      <c r="A106" s="1"/>
      <c r="B106" s="33"/>
      <c r="C106" s="34"/>
      <c r="D106" s="34"/>
      <c r="E106" s="3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25">
      <c r="A107" s="1"/>
      <c r="B107" s="33"/>
      <c r="C107" s="34"/>
      <c r="D107" s="34"/>
      <c r="E107" s="3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25">
      <c r="A108" s="1"/>
      <c r="B108" s="33"/>
      <c r="C108" s="34"/>
      <c r="D108" s="34"/>
      <c r="E108" s="3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25">
      <c r="A109" s="1"/>
      <c r="B109" s="33"/>
      <c r="C109" s="34"/>
      <c r="D109" s="34"/>
      <c r="E109" s="3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25">
      <c r="A110" s="1"/>
      <c r="B110" s="33"/>
      <c r="C110" s="34"/>
      <c r="D110" s="34"/>
      <c r="E110" s="3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25">
      <c r="A111" s="1"/>
      <c r="B111" s="33"/>
      <c r="C111" s="34"/>
      <c r="D111" s="34"/>
      <c r="E111" s="3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25">
      <c r="A112" s="1"/>
      <c r="B112" s="33"/>
      <c r="C112" s="34"/>
      <c r="D112" s="34"/>
      <c r="E112" s="3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25">
      <c r="A113" s="1"/>
      <c r="B113" s="33"/>
      <c r="C113" s="34"/>
      <c r="D113" s="34"/>
      <c r="E113" s="3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25">
      <c r="A114" s="1"/>
      <c r="B114" s="33"/>
      <c r="C114" s="34"/>
      <c r="D114" s="34"/>
      <c r="E114" s="3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25">
      <c r="A115" s="1"/>
      <c r="B115" s="33"/>
      <c r="C115" s="34"/>
      <c r="D115" s="34"/>
      <c r="E115" s="3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25">
      <c r="A116" s="1"/>
      <c r="B116" s="33"/>
      <c r="C116" s="34"/>
      <c r="D116" s="34"/>
      <c r="E116" s="3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25">
      <c r="A117" s="1"/>
      <c r="B117" s="33"/>
      <c r="C117" s="34"/>
      <c r="D117" s="34"/>
      <c r="E117" s="3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25">
      <c r="A118" s="1"/>
      <c r="B118" s="33"/>
      <c r="C118" s="34"/>
      <c r="D118" s="34"/>
      <c r="E118" s="3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25">
      <c r="A119" s="1"/>
      <c r="B119" s="33"/>
      <c r="C119" s="34"/>
      <c r="D119" s="34"/>
      <c r="E119" s="3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25">
      <c r="A120" s="1"/>
      <c r="B120" s="33"/>
      <c r="C120" s="34"/>
      <c r="D120" s="34"/>
      <c r="E120" s="3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25">
      <c r="A121" s="1"/>
      <c r="B121" s="33"/>
      <c r="C121" s="34"/>
      <c r="D121" s="34"/>
      <c r="E121" s="3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25">
      <c r="A122" s="1"/>
      <c r="B122" s="33"/>
      <c r="C122" s="34"/>
      <c r="D122" s="34"/>
      <c r="E122" s="3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25">
      <c r="A123" s="1"/>
      <c r="B123" s="33"/>
      <c r="C123" s="34"/>
      <c r="D123" s="34"/>
      <c r="E123" s="3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25">
      <c r="A124" s="1"/>
      <c r="B124" s="33"/>
      <c r="C124" s="34"/>
      <c r="D124" s="34"/>
      <c r="E124" s="3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25">
      <c r="A125" s="1"/>
      <c r="B125" s="33"/>
      <c r="C125" s="34"/>
      <c r="D125" s="34"/>
      <c r="E125" s="3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25">
      <c r="A126" s="1"/>
      <c r="B126" s="33"/>
      <c r="C126" s="34"/>
      <c r="D126" s="34"/>
      <c r="E126" s="3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25">
      <c r="A127" s="1"/>
      <c r="B127" s="33"/>
      <c r="C127" s="34"/>
      <c r="D127" s="34"/>
      <c r="E127" s="3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25">
      <c r="A128" s="1"/>
      <c r="B128" s="33"/>
      <c r="C128" s="34"/>
      <c r="D128" s="34"/>
      <c r="E128" s="3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25">
      <c r="A129" s="1"/>
      <c r="B129" s="33"/>
      <c r="C129" s="34"/>
      <c r="D129" s="34"/>
      <c r="E129" s="3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25">
      <c r="A130" s="1"/>
      <c r="B130" s="33"/>
      <c r="C130" s="34"/>
      <c r="D130" s="34"/>
      <c r="E130" s="3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25">
      <c r="A131" s="1"/>
      <c r="B131" s="33"/>
      <c r="C131" s="34"/>
      <c r="D131" s="34"/>
      <c r="E131" s="3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25">
      <c r="A132" s="1"/>
      <c r="B132" s="33"/>
      <c r="C132" s="34"/>
      <c r="D132" s="34"/>
      <c r="E132" s="3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25">
      <c r="A133" s="1"/>
      <c r="B133" s="33"/>
      <c r="C133" s="34"/>
      <c r="D133" s="34"/>
      <c r="E133" s="3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25">
      <c r="A134" s="1"/>
      <c r="B134" s="33"/>
      <c r="C134" s="34"/>
      <c r="D134" s="34"/>
      <c r="E134" s="3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25">
      <c r="A135" s="1"/>
      <c r="B135" s="33"/>
      <c r="C135" s="34"/>
      <c r="D135" s="34"/>
      <c r="E135" s="3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25">
      <c r="A136" s="1"/>
      <c r="B136" s="33"/>
      <c r="C136" s="34"/>
      <c r="D136" s="34"/>
      <c r="E136" s="3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25">
      <c r="A137" s="1"/>
      <c r="B137" s="33"/>
      <c r="C137" s="34"/>
      <c r="D137" s="34"/>
      <c r="E137" s="3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25">
      <c r="A138" s="1"/>
      <c r="B138" s="33"/>
      <c r="C138" s="34"/>
      <c r="D138" s="34"/>
      <c r="E138" s="3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25">
      <c r="A139" s="1"/>
      <c r="B139" s="33"/>
      <c r="C139" s="34"/>
      <c r="D139" s="34"/>
      <c r="E139" s="3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25">
      <c r="A140" s="1"/>
      <c r="B140" s="33"/>
      <c r="C140" s="34"/>
      <c r="D140" s="34"/>
      <c r="E140" s="3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25">
      <c r="A141" s="1"/>
      <c r="B141" s="33"/>
      <c r="C141" s="34"/>
      <c r="D141" s="34"/>
      <c r="E141" s="3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25">
      <c r="A142" s="1"/>
      <c r="B142" s="33"/>
      <c r="C142" s="34"/>
      <c r="D142" s="34"/>
      <c r="E142" s="3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25">
      <c r="A143" s="1"/>
      <c r="B143" s="33"/>
      <c r="C143" s="34"/>
      <c r="D143" s="34"/>
      <c r="E143" s="3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25">
      <c r="A144" s="1"/>
      <c r="B144" s="33"/>
      <c r="C144" s="34"/>
      <c r="D144" s="34"/>
      <c r="E144" s="3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25">
      <c r="A145" s="1"/>
      <c r="B145" s="33"/>
      <c r="C145" s="34"/>
      <c r="D145" s="34"/>
      <c r="E145" s="3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5">
      <c r="A146" s="1"/>
      <c r="B146" s="33"/>
      <c r="C146" s="34"/>
      <c r="D146" s="34"/>
      <c r="E146" s="3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25">
      <c r="A147" s="1"/>
      <c r="B147" s="33"/>
      <c r="C147" s="34"/>
      <c r="D147" s="34"/>
      <c r="E147" s="3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25">
      <c r="A148" s="1"/>
      <c r="B148" s="33"/>
      <c r="C148" s="34"/>
      <c r="D148" s="34"/>
      <c r="E148" s="3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25">
      <c r="A149" s="1"/>
      <c r="B149" s="33"/>
      <c r="C149" s="34"/>
      <c r="D149" s="34"/>
      <c r="E149" s="3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25">
      <c r="A150" s="1"/>
      <c r="B150" s="33"/>
      <c r="C150" s="34"/>
      <c r="D150" s="34"/>
      <c r="E150" s="3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25">
      <c r="A151" s="1"/>
      <c r="B151" s="33"/>
      <c r="C151" s="34"/>
      <c r="D151" s="34"/>
      <c r="E151" s="3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25">
      <c r="A152" s="1"/>
      <c r="B152" s="33"/>
      <c r="C152" s="34"/>
      <c r="D152" s="34"/>
      <c r="E152" s="3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25">
      <c r="A153" s="1"/>
      <c r="B153" s="33"/>
      <c r="C153" s="34"/>
      <c r="D153" s="34"/>
      <c r="E153" s="3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25">
      <c r="A154" s="1"/>
      <c r="B154" s="33"/>
      <c r="C154" s="34"/>
      <c r="D154" s="34"/>
      <c r="E154" s="3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25">
      <c r="A155" s="1"/>
      <c r="B155" s="33"/>
      <c r="C155" s="34"/>
      <c r="D155" s="34"/>
      <c r="E155" s="3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25">
      <c r="A156" s="1"/>
      <c r="B156" s="33"/>
      <c r="C156" s="34"/>
      <c r="D156" s="34"/>
      <c r="E156" s="3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25">
      <c r="A157" s="1"/>
      <c r="B157" s="33"/>
      <c r="C157" s="34"/>
      <c r="D157" s="34"/>
      <c r="E157" s="3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25">
      <c r="A158" s="1"/>
      <c r="B158" s="33"/>
      <c r="C158" s="34"/>
      <c r="D158" s="34"/>
      <c r="E158" s="3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25">
      <c r="A159" s="1"/>
      <c r="B159" s="33"/>
      <c r="C159" s="34"/>
      <c r="D159" s="34"/>
      <c r="E159" s="3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25">
      <c r="A160" s="1"/>
      <c r="B160" s="33"/>
      <c r="C160" s="34"/>
      <c r="D160" s="34"/>
      <c r="E160" s="3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25">
      <c r="A161" s="1"/>
      <c r="B161" s="33"/>
      <c r="C161" s="34"/>
      <c r="D161" s="34"/>
      <c r="E161" s="3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25">
      <c r="A162" s="1"/>
      <c r="B162" s="33"/>
      <c r="C162" s="34"/>
      <c r="D162" s="34"/>
      <c r="E162" s="3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25">
      <c r="A163" s="1"/>
      <c r="B163" s="33"/>
      <c r="C163" s="34"/>
      <c r="D163" s="34"/>
      <c r="E163" s="3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25">
      <c r="A164" s="1"/>
      <c r="B164" s="33"/>
      <c r="C164" s="34"/>
      <c r="D164" s="34"/>
      <c r="E164" s="3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25">
      <c r="A165" s="1"/>
      <c r="B165" s="33"/>
      <c r="C165" s="34"/>
      <c r="D165" s="34"/>
      <c r="E165" s="3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25">
      <c r="A166" s="1"/>
      <c r="B166" s="33"/>
      <c r="C166" s="34"/>
      <c r="D166" s="34"/>
      <c r="E166" s="3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25">
      <c r="A167" s="1"/>
      <c r="B167" s="33"/>
      <c r="C167" s="34"/>
      <c r="D167" s="34"/>
      <c r="E167" s="3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25">
      <c r="A168" s="1"/>
      <c r="B168" s="33"/>
      <c r="C168" s="34"/>
      <c r="D168" s="34"/>
      <c r="E168" s="3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25">
      <c r="A169" s="1"/>
      <c r="B169" s="33"/>
      <c r="C169" s="34"/>
      <c r="D169" s="34"/>
      <c r="E169" s="3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25">
      <c r="A170" s="1"/>
      <c r="B170" s="33"/>
      <c r="C170" s="34"/>
      <c r="D170" s="34"/>
      <c r="E170" s="3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25">
      <c r="A171" s="1"/>
      <c r="B171" s="33"/>
      <c r="C171" s="34"/>
      <c r="D171" s="34"/>
      <c r="E171" s="3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25">
      <c r="A172" s="1"/>
      <c r="B172" s="33"/>
      <c r="C172" s="34"/>
      <c r="D172" s="34"/>
      <c r="E172" s="3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25">
      <c r="A173" s="1"/>
      <c r="B173" s="33"/>
      <c r="C173" s="34"/>
      <c r="D173" s="34"/>
      <c r="E173" s="3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25">
      <c r="A174" s="1"/>
      <c r="B174" s="33"/>
      <c r="C174" s="34"/>
      <c r="D174" s="34"/>
      <c r="E174" s="3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25">
      <c r="A175" s="1"/>
      <c r="B175" s="33"/>
      <c r="C175" s="34"/>
      <c r="D175" s="34"/>
      <c r="E175" s="3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25">
      <c r="A176" s="1"/>
      <c r="B176" s="33"/>
      <c r="C176" s="34"/>
      <c r="D176" s="34"/>
      <c r="E176" s="3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25">
      <c r="A177" s="1"/>
      <c r="B177" s="33"/>
      <c r="C177" s="34"/>
      <c r="D177" s="34"/>
      <c r="E177" s="3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25">
      <c r="A178" s="1"/>
      <c r="B178" s="33"/>
      <c r="C178" s="34"/>
      <c r="D178" s="34"/>
      <c r="E178" s="3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25">
      <c r="A179" s="1"/>
      <c r="B179" s="33"/>
      <c r="C179" s="34"/>
      <c r="D179" s="34"/>
      <c r="E179" s="3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25">
      <c r="A180" s="1"/>
      <c r="B180" s="33"/>
      <c r="C180" s="34"/>
      <c r="D180" s="34"/>
      <c r="E180" s="3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25">
      <c r="A181" s="1"/>
      <c r="B181" s="33"/>
      <c r="C181" s="34"/>
      <c r="D181" s="34"/>
      <c r="E181" s="3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25">
      <c r="A182" s="1"/>
      <c r="B182" s="33"/>
      <c r="C182" s="34"/>
      <c r="D182" s="34"/>
      <c r="E182" s="3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25">
      <c r="A183" s="1"/>
      <c r="B183" s="33"/>
      <c r="C183" s="34"/>
      <c r="D183" s="34"/>
      <c r="E183" s="3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25">
      <c r="A184" s="1"/>
      <c r="B184" s="33"/>
      <c r="C184" s="34"/>
      <c r="D184" s="34"/>
      <c r="E184" s="3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25">
      <c r="A185" s="1"/>
      <c r="B185" s="33"/>
      <c r="C185" s="34"/>
      <c r="D185" s="34"/>
      <c r="E185" s="3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25">
      <c r="A186" s="1"/>
      <c r="B186" s="33"/>
      <c r="C186" s="34"/>
      <c r="D186" s="34"/>
      <c r="E186" s="3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25">
      <c r="A187" s="1"/>
      <c r="B187" s="33"/>
      <c r="C187" s="34"/>
      <c r="D187" s="34"/>
      <c r="E187" s="3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25">
      <c r="A188" s="1"/>
      <c r="B188" s="33"/>
      <c r="C188" s="34"/>
      <c r="D188" s="34"/>
      <c r="E188" s="3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25">
      <c r="A189" s="1"/>
      <c r="B189" s="33"/>
      <c r="C189" s="34"/>
      <c r="D189" s="34"/>
      <c r="E189" s="3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25">
      <c r="A190" s="1"/>
      <c r="B190" s="33"/>
      <c r="C190" s="34"/>
      <c r="D190" s="34"/>
      <c r="E190" s="3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25">
      <c r="A191" s="1"/>
      <c r="B191" s="33"/>
      <c r="C191" s="34"/>
      <c r="D191" s="34"/>
      <c r="E191" s="3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25">
      <c r="A192" s="1"/>
      <c r="B192" s="33"/>
      <c r="C192" s="34"/>
      <c r="D192" s="34"/>
      <c r="E192" s="3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25">
      <c r="A193" s="1"/>
      <c r="B193" s="33"/>
      <c r="C193" s="34"/>
      <c r="D193" s="34"/>
      <c r="E193" s="3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25">
      <c r="A194" s="1"/>
      <c r="B194" s="33"/>
      <c r="C194" s="34"/>
      <c r="D194" s="34"/>
      <c r="E194" s="3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25">
      <c r="A195" s="1"/>
      <c r="B195" s="33"/>
      <c r="C195" s="34"/>
      <c r="D195" s="34"/>
      <c r="E195" s="3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25">
      <c r="A196" s="1"/>
      <c r="B196" s="33"/>
      <c r="C196" s="34"/>
      <c r="D196" s="34"/>
      <c r="E196" s="3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25">
      <c r="A197" s="1"/>
      <c r="B197" s="33"/>
      <c r="C197" s="34"/>
      <c r="D197" s="34"/>
      <c r="E197" s="3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25">
      <c r="A198" s="1"/>
      <c r="B198" s="33"/>
      <c r="C198" s="34"/>
      <c r="D198" s="34"/>
      <c r="E198" s="3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25">
      <c r="A199" s="1"/>
      <c r="B199" s="33"/>
      <c r="C199" s="34"/>
      <c r="D199" s="34"/>
      <c r="E199" s="3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25">
      <c r="A200" s="1"/>
      <c r="B200" s="33"/>
      <c r="C200" s="34"/>
      <c r="D200" s="34"/>
      <c r="E200" s="3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25">
      <c r="A201" s="1"/>
      <c r="B201" s="33"/>
      <c r="C201" s="34"/>
      <c r="D201" s="34"/>
      <c r="E201" s="3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25">
      <c r="A202" s="1"/>
      <c r="B202" s="33"/>
      <c r="C202" s="34"/>
      <c r="D202" s="34"/>
      <c r="E202" s="3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25">
      <c r="A203" s="1"/>
      <c r="B203" s="33"/>
      <c r="C203" s="34"/>
      <c r="D203" s="34"/>
      <c r="E203" s="3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25">
      <c r="A204" s="1"/>
      <c r="B204" s="33"/>
      <c r="C204" s="34"/>
      <c r="D204" s="34"/>
      <c r="E204" s="3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25">
      <c r="A205" s="1"/>
      <c r="B205" s="33"/>
      <c r="C205" s="34"/>
      <c r="D205" s="34"/>
      <c r="E205" s="3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25">
      <c r="A206" s="1"/>
      <c r="B206" s="33"/>
      <c r="C206" s="34"/>
      <c r="D206" s="34"/>
      <c r="E206" s="3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25">
      <c r="A207" s="1"/>
      <c r="B207" s="33"/>
      <c r="C207" s="34"/>
      <c r="D207" s="34"/>
      <c r="E207" s="3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25">
      <c r="A208" s="1"/>
      <c r="B208" s="33"/>
      <c r="C208" s="34"/>
      <c r="D208" s="34"/>
      <c r="E208" s="3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25">
      <c r="A209" s="1"/>
      <c r="B209" s="33"/>
      <c r="C209" s="34"/>
      <c r="D209" s="34"/>
      <c r="E209" s="3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25">
      <c r="A210" s="1"/>
      <c r="B210" s="33"/>
      <c r="C210" s="34"/>
      <c r="D210" s="34"/>
      <c r="E210" s="3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25">
      <c r="A211" s="1"/>
      <c r="B211" s="33"/>
      <c r="C211" s="34"/>
      <c r="D211" s="34"/>
      <c r="E211" s="3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25">
      <c r="A212" s="1"/>
      <c r="B212" s="33"/>
      <c r="C212" s="34"/>
      <c r="D212" s="34"/>
      <c r="E212" s="3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25">
      <c r="A213" s="1"/>
      <c r="B213" s="33"/>
      <c r="C213" s="34"/>
      <c r="D213" s="34"/>
      <c r="E213" s="3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25">
      <c r="A214" s="1"/>
      <c r="B214" s="33"/>
      <c r="C214" s="34"/>
      <c r="D214" s="34"/>
      <c r="E214" s="3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25">
      <c r="A215" s="1"/>
      <c r="B215" s="33"/>
      <c r="C215" s="34"/>
      <c r="D215" s="34"/>
      <c r="E215" s="3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25">
      <c r="A216" s="1"/>
      <c r="B216" s="33"/>
      <c r="C216" s="34"/>
      <c r="D216" s="34"/>
      <c r="E216" s="3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25">
      <c r="A217" s="1"/>
      <c r="B217" s="33"/>
      <c r="C217" s="34"/>
      <c r="D217" s="34"/>
      <c r="E217" s="3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25">
      <c r="A218" s="1"/>
      <c r="B218" s="33"/>
      <c r="C218" s="34"/>
      <c r="D218" s="34"/>
      <c r="E218" s="3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25">
      <c r="A219" s="1"/>
      <c r="B219" s="33"/>
      <c r="C219" s="34"/>
      <c r="D219" s="34"/>
      <c r="E219" s="3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25">
      <c r="A220" s="1"/>
      <c r="B220" s="33"/>
      <c r="C220" s="34"/>
      <c r="D220" s="34"/>
      <c r="E220" s="3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25">
      <c r="A221" s="1"/>
      <c r="B221" s="33"/>
      <c r="C221" s="34"/>
      <c r="D221" s="34"/>
      <c r="E221" s="3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25">
      <c r="A222" s="1"/>
      <c r="B222" s="33"/>
      <c r="C222" s="34"/>
      <c r="D222" s="34"/>
      <c r="E222" s="3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25">
      <c r="A223" s="1"/>
      <c r="B223" s="33"/>
      <c r="C223" s="34"/>
      <c r="D223" s="34"/>
      <c r="E223" s="3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25">
      <c r="A224" s="1"/>
      <c r="B224" s="33"/>
      <c r="C224" s="34"/>
      <c r="D224" s="34"/>
      <c r="E224" s="3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25">
      <c r="A225" s="1"/>
      <c r="B225" s="33"/>
      <c r="C225" s="34"/>
      <c r="D225" s="34"/>
      <c r="E225" s="3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25">
      <c r="A226" s="1"/>
      <c r="B226" s="33"/>
      <c r="C226" s="34"/>
      <c r="D226" s="34"/>
      <c r="E226" s="3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25">
      <c r="A227" s="1"/>
      <c r="B227" s="33"/>
      <c r="C227" s="34"/>
      <c r="D227" s="34"/>
      <c r="E227" s="3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25">
      <c r="A228" s="1"/>
      <c r="B228" s="33"/>
      <c r="C228" s="34"/>
      <c r="D228" s="34"/>
      <c r="E228" s="3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25">
      <c r="A229" s="1"/>
      <c r="B229" s="33"/>
      <c r="C229" s="34"/>
      <c r="D229" s="34"/>
      <c r="E229" s="3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25">
      <c r="A230" s="1"/>
      <c r="B230" s="33"/>
      <c r="C230" s="34"/>
      <c r="D230" s="34"/>
      <c r="E230" s="3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25">
      <c r="A231" s="1"/>
      <c r="B231" s="33"/>
      <c r="C231" s="34"/>
      <c r="D231" s="34"/>
      <c r="E231" s="3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25">
      <c r="A232" s="1"/>
      <c r="B232" s="33"/>
      <c r="C232" s="34"/>
      <c r="D232" s="34"/>
      <c r="E232" s="3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25">
      <c r="A233" s="1"/>
      <c r="B233" s="33"/>
      <c r="C233" s="34"/>
      <c r="D233" s="34"/>
      <c r="E233" s="3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25">
      <c r="A234" s="1"/>
      <c r="B234" s="33"/>
      <c r="C234" s="34"/>
      <c r="D234" s="34"/>
      <c r="E234" s="3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25">
      <c r="A235" s="1"/>
      <c r="B235" s="33"/>
      <c r="C235" s="34"/>
      <c r="D235" s="34"/>
      <c r="E235" s="3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25">
      <c r="A236" s="1"/>
      <c r="B236" s="33"/>
      <c r="C236" s="34"/>
      <c r="D236" s="34"/>
      <c r="E236" s="3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25">
      <c r="A237" s="1"/>
      <c r="B237" s="33"/>
      <c r="C237" s="34"/>
      <c r="D237" s="34"/>
      <c r="E237" s="3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25">
      <c r="A238" s="1"/>
      <c r="B238" s="33"/>
      <c r="C238" s="34"/>
      <c r="D238" s="34"/>
      <c r="E238" s="3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25">
      <c r="A239" s="1"/>
      <c r="B239" s="33"/>
      <c r="C239" s="34"/>
      <c r="D239" s="34"/>
      <c r="E239" s="3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25">
      <c r="A240" s="1"/>
      <c r="B240" s="33"/>
      <c r="C240" s="34"/>
      <c r="D240" s="34"/>
      <c r="E240" s="3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25">
      <c r="A241" s="1"/>
      <c r="B241" s="33"/>
      <c r="C241" s="34"/>
      <c r="D241" s="34"/>
      <c r="E241" s="3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25">
      <c r="A242" s="1"/>
      <c r="B242" s="33"/>
      <c r="C242" s="34"/>
      <c r="D242" s="34"/>
      <c r="E242" s="3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25">
      <c r="A243" s="1"/>
      <c r="B243" s="33"/>
      <c r="C243" s="34"/>
      <c r="D243" s="34"/>
      <c r="E243" s="3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25">
      <c r="A244" s="1"/>
      <c r="B244" s="33"/>
      <c r="C244" s="34"/>
      <c r="D244" s="34"/>
      <c r="E244" s="3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25">
      <c r="A245" s="1"/>
      <c r="B245" s="33"/>
      <c r="C245" s="34"/>
      <c r="D245" s="34"/>
      <c r="E245" s="3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25">
      <c r="A246" s="1"/>
      <c r="B246" s="33"/>
      <c r="C246" s="34"/>
      <c r="D246" s="34"/>
      <c r="E246" s="3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25">
      <c r="A247" s="1"/>
      <c r="B247" s="33"/>
      <c r="C247" s="34"/>
      <c r="D247" s="34"/>
      <c r="E247" s="3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25">
      <c r="A248" s="1"/>
      <c r="B248" s="33"/>
      <c r="C248" s="34"/>
      <c r="D248" s="34"/>
      <c r="E248" s="3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25">
      <c r="A249" s="1"/>
      <c r="B249" s="33"/>
      <c r="C249" s="34"/>
      <c r="D249" s="34"/>
      <c r="E249" s="3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25">
      <c r="A250" s="1"/>
      <c r="B250" s="33"/>
      <c r="C250" s="34"/>
      <c r="D250" s="34"/>
      <c r="E250" s="3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25">
      <c r="A251" s="1"/>
      <c r="B251" s="33"/>
      <c r="C251" s="34"/>
      <c r="D251" s="34"/>
      <c r="E251" s="3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25">
      <c r="A252" s="1"/>
      <c r="B252" s="33"/>
      <c r="C252" s="34"/>
      <c r="D252" s="34"/>
      <c r="E252" s="3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25">
      <c r="A253" s="1"/>
      <c r="B253" s="33"/>
      <c r="C253" s="34"/>
      <c r="D253" s="34"/>
      <c r="E253" s="3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25">
      <c r="A254" s="1"/>
      <c r="B254" s="33"/>
      <c r="C254" s="34"/>
      <c r="D254" s="34"/>
      <c r="E254" s="3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25">
      <c r="A255" s="1"/>
      <c r="B255" s="33"/>
      <c r="C255" s="34"/>
      <c r="D255" s="34"/>
      <c r="E255" s="3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25">
      <c r="A256" s="1"/>
      <c r="B256" s="33"/>
      <c r="C256" s="34"/>
      <c r="D256" s="34"/>
      <c r="E256" s="3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25">
      <c r="A257" s="1"/>
      <c r="B257" s="33"/>
      <c r="C257" s="34"/>
      <c r="D257" s="34"/>
      <c r="E257" s="3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25">
      <c r="A258" s="1"/>
      <c r="B258" s="33"/>
      <c r="C258" s="34"/>
      <c r="D258" s="34"/>
      <c r="E258" s="3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25">
      <c r="A259" s="1"/>
      <c r="B259" s="33"/>
      <c r="C259" s="34"/>
      <c r="D259" s="34"/>
      <c r="E259" s="3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25">
      <c r="A260" s="1"/>
      <c r="B260" s="33"/>
      <c r="C260" s="34"/>
      <c r="D260" s="34"/>
      <c r="E260" s="3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25">
      <c r="A261" s="1"/>
      <c r="B261" s="33"/>
      <c r="C261" s="34"/>
      <c r="D261" s="34"/>
      <c r="E261" s="3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25">
      <c r="A262" s="1"/>
      <c r="B262" s="33"/>
      <c r="C262" s="34"/>
      <c r="D262" s="34"/>
      <c r="E262" s="3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25">
      <c r="A263" s="1"/>
      <c r="B263" s="33"/>
      <c r="C263" s="34"/>
      <c r="D263" s="34"/>
      <c r="E263" s="3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25">
      <c r="A264" s="1"/>
      <c r="B264" s="33"/>
      <c r="C264" s="34"/>
      <c r="D264" s="34"/>
      <c r="E264" s="3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25">
      <c r="A265" s="1"/>
      <c r="B265" s="33"/>
      <c r="C265" s="34"/>
      <c r="D265" s="34"/>
      <c r="E265" s="3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25">
      <c r="A266" s="1"/>
      <c r="B266" s="33"/>
      <c r="C266" s="34"/>
      <c r="D266" s="34"/>
      <c r="E266" s="3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25">
      <c r="A267" s="1"/>
      <c r="B267" s="33"/>
      <c r="C267" s="34"/>
      <c r="D267" s="34"/>
      <c r="E267" s="3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25">
      <c r="A268" s="1"/>
      <c r="B268" s="33"/>
      <c r="C268" s="34"/>
      <c r="D268" s="34"/>
      <c r="E268" s="3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25">
      <c r="A269" s="1"/>
      <c r="B269" s="33"/>
      <c r="C269" s="34"/>
      <c r="D269" s="34"/>
      <c r="E269" s="3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25">
      <c r="A270" s="1"/>
      <c r="B270" s="33"/>
      <c r="C270" s="34"/>
      <c r="D270" s="34"/>
      <c r="E270" s="3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25">
      <c r="A271" s="1"/>
      <c r="B271" s="33"/>
      <c r="C271" s="34"/>
      <c r="D271" s="34"/>
      <c r="E271" s="3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25">
      <c r="A272" s="1"/>
      <c r="B272" s="33"/>
      <c r="C272" s="34"/>
      <c r="D272" s="34"/>
      <c r="E272" s="3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25">
      <c r="A273" s="1"/>
      <c r="B273" s="33"/>
      <c r="C273" s="34"/>
      <c r="D273" s="34"/>
      <c r="E273" s="3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25">
      <c r="A274" s="1"/>
      <c r="B274" s="33"/>
      <c r="C274" s="34"/>
      <c r="D274" s="34"/>
      <c r="E274" s="3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25">
      <c r="A275" s="1"/>
      <c r="B275" s="33"/>
      <c r="C275" s="34"/>
      <c r="D275" s="34"/>
      <c r="E275" s="3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25">
      <c r="A276" s="1"/>
      <c r="B276" s="33"/>
      <c r="C276" s="34"/>
      <c r="D276" s="34"/>
      <c r="E276" s="3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25">
      <c r="A277" s="1"/>
      <c r="B277" s="33"/>
      <c r="C277" s="34"/>
      <c r="D277" s="34"/>
      <c r="E277" s="3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25">
      <c r="A278" s="1"/>
      <c r="B278" s="33"/>
      <c r="C278" s="34"/>
      <c r="D278" s="34"/>
      <c r="E278" s="3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25">
      <c r="A279" s="1"/>
      <c r="B279" s="33"/>
      <c r="C279" s="34"/>
      <c r="D279" s="34"/>
      <c r="E279" s="3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25">
      <c r="A280" s="1"/>
      <c r="B280" s="33"/>
      <c r="C280" s="34"/>
      <c r="D280" s="34"/>
      <c r="E280" s="3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25">
      <c r="A281" s="1"/>
      <c r="B281" s="33"/>
      <c r="C281" s="34"/>
      <c r="D281" s="34"/>
      <c r="E281" s="3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25">
      <c r="A282" s="1"/>
      <c r="B282" s="33"/>
      <c r="C282" s="34"/>
      <c r="D282" s="34"/>
      <c r="E282" s="3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25">
      <c r="A283" s="1"/>
      <c r="B283" s="33"/>
      <c r="C283" s="34"/>
      <c r="D283" s="34"/>
      <c r="E283" s="3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25">
      <c r="A284" s="1"/>
      <c r="B284" s="33"/>
      <c r="C284" s="34"/>
      <c r="D284" s="34"/>
      <c r="E284" s="3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25">
      <c r="A285" s="1"/>
      <c r="B285" s="33"/>
      <c r="C285" s="34"/>
      <c r="D285" s="34"/>
      <c r="E285" s="3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25">
      <c r="A286" s="1"/>
      <c r="B286" s="33"/>
      <c r="C286" s="34"/>
      <c r="D286" s="34"/>
      <c r="E286" s="3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25">
      <c r="A287" s="1"/>
      <c r="B287" s="33"/>
      <c r="C287" s="34"/>
      <c r="D287" s="34"/>
      <c r="E287" s="3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25">
      <c r="A288" s="1"/>
      <c r="B288" s="33"/>
      <c r="C288" s="34"/>
      <c r="D288" s="34"/>
      <c r="E288" s="3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25">
      <c r="A289" s="1"/>
      <c r="B289" s="33"/>
      <c r="C289" s="34"/>
      <c r="D289" s="34"/>
      <c r="E289" s="3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25">
      <c r="A290" s="1"/>
      <c r="B290" s="33"/>
      <c r="C290" s="34"/>
      <c r="D290" s="34"/>
      <c r="E290" s="3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25">
      <c r="A291" s="1"/>
      <c r="B291" s="33"/>
      <c r="C291" s="34"/>
      <c r="D291" s="34"/>
      <c r="E291" s="3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25">
      <c r="A292" s="1"/>
      <c r="B292" s="33"/>
      <c r="C292" s="34"/>
      <c r="D292" s="34"/>
      <c r="E292" s="3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25">
      <c r="A293" s="1"/>
      <c r="B293" s="33"/>
      <c r="C293" s="34"/>
      <c r="D293" s="34"/>
      <c r="E293" s="3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25">
      <c r="A294" s="1"/>
      <c r="B294" s="33"/>
      <c r="C294" s="34"/>
      <c r="D294" s="34"/>
      <c r="E294" s="3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25">
      <c r="A295" s="1"/>
      <c r="B295" s="33"/>
      <c r="C295" s="34"/>
      <c r="D295" s="34"/>
      <c r="E295" s="3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25">
      <c r="A296" s="1"/>
      <c r="B296" s="33"/>
      <c r="C296" s="34"/>
      <c r="D296" s="34"/>
      <c r="E296" s="3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25">
      <c r="A297" s="1"/>
      <c r="B297" s="33"/>
      <c r="C297" s="34"/>
      <c r="D297" s="34"/>
      <c r="E297" s="3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25">
      <c r="A298" s="1"/>
      <c r="B298" s="33"/>
      <c r="C298" s="34"/>
      <c r="D298" s="34"/>
      <c r="E298" s="3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25">
      <c r="A299" s="1"/>
      <c r="B299" s="33"/>
      <c r="C299" s="34"/>
      <c r="D299" s="34"/>
      <c r="E299" s="3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25">
      <c r="A300" s="1"/>
      <c r="B300" s="33"/>
      <c r="C300" s="34"/>
      <c r="D300" s="34"/>
      <c r="E300" s="3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25">
      <c r="A301" s="1"/>
      <c r="B301" s="33"/>
      <c r="C301" s="34"/>
      <c r="D301" s="34"/>
      <c r="E301" s="3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25">
      <c r="A302" s="1"/>
      <c r="B302" s="33"/>
      <c r="C302" s="34"/>
      <c r="D302" s="34"/>
      <c r="E302" s="3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25">
      <c r="A303" s="1"/>
      <c r="B303" s="33"/>
      <c r="C303" s="34"/>
      <c r="D303" s="34"/>
      <c r="E303" s="3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25">
      <c r="A304" s="1"/>
      <c r="B304" s="33"/>
      <c r="C304" s="34"/>
      <c r="D304" s="34"/>
      <c r="E304" s="3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25">
      <c r="A305" s="1"/>
      <c r="B305" s="33"/>
      <c r="C305" s="34"/>
      <c r="D305" s="34"/>
      <c r="E305" s="3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25">
      <c r="A306" s="1"/>
      <c r="B306" s="33"/>
      <c r="C306" s="34"/>
      <c r="D306" s="34"/>
      <c r="E306" s="3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25">
      <c r="A307" s="1"/>
      <c r="B307" s="33"/>
      <c r="C307" s="34"/>
      <c r="D307" s="34"/>
      <c r="E307" s="3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25">
      <c r="A308" s="1"/>
      <c r="B308" s="33"/>
      <c r="C308" s="34"/>
      <c r="D308" s="34"/>
      <c r="E308" s="3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25">
      <c r="A309" s="1"/>
      <c r="B309" s="33"/>
      <c r="C309" s="34"/>
      <c r="D309" s="34"/>
      <c r="E309" s="3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25">
      <c r="A310" s="1"/>
      <c r="B310" s="33"/>
      <c r="C310" s="34"/>
      <c r="D310" s="34"/>
      <c r="E310" s="3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25">
      <c r="A311" s="1"/>
      <c r="B311" s="33"/>
      <c r="C311" s="34"/>
      <c r="D311" s="34"/>
      <c r="E311" s="3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25">
      <c r="A312" s="1"/>
      <c r="B312" s="33"/>
      <c r="C312" s="34"/>
      <c r="D312" s="34"/>
      <c r="E312" s="3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25">
      <c r="A313" s="1"/>
      <c r="B313" s="33"/>
      <c r="C313" s="34"/>
      <c r="D313" s="34"/>
      <c r="E313" s="3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25">
      <c r="A314" s="1"/>
      <c r="B314" s="33"/>
      <c r="C314" s="34"/>
      <c r="D314" s="34"/>
      <c r="E314" s="3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25">
      <c r="A315" s="1"/>
      <c r="B315" s="33"/>
      <c r="C315" s="34"/>
      <c r="D315" s="34"/>
      <c r="E315" s="3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25">
      <c r="A316" s="1"/>
      <c r="B316" s="33"/>
      <c r="C316" s="34"/>
      <c r="D316" s="34"/>
      <c r="E316" s="3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25">
      <c r="A317" s="1"/>
      <c r="B317" s="33"/>
      <c r="C317" s="34"/>
      <c r="D317" s="34"/>
      <c r="E317" s="3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25">
      <c r="A318" s="1"/>
      <c r="B318" s="33"/>
      <c r="C318" s="34"/>
      <c r="D318" s="34"/>
      <c r="E318" s="3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25">
      <c r="A319" s="1"/>
      <c r="B319" s="33"/>
      <c r="C319" s="34"/>
      <c r="D319" s="34"/>
      <c r="E319" s="3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25">
      <c r="A320" s="1"/>
      <c r="B320" s="33"/>
      <c r="C320" s="34"/>
      <c r="D320" s="34"/>
      <c r="E320" s="3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25">
      <c r="A321" s="1"/>
      <c r="B321" s="33"/>
      <c r="C321" s="34"/>
      <c r="D321" s="34"/>
      <c r="E321" s="3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25">
      <c r="A322" s="1"/>
      <c r="B322" s="33"/>
      <c r="C322" s="34"/>
      <c r="D322" s="34"/>
      <c r="E322" s="3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25">
      <c r="A323" s="1"/>
      <c r="B323" s="33"/>
      <c r="C323" s="34"/>
      <c r="D323" s="34"/>
      <c r="E323" s="3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25">
      <c r="A324" s="1"/>
      <c r="B324" s="33"/>
      <c r="C324" s="34"/>
      <c r="D324" s="34"/>
      <c r="E324" s="3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25">
      <c r="A325" s="1"/>
      <c r="B325" s="33"/>
      <c r="C325" s="34"/>
      <c r="D325" s="34"/>
      <c r="E325" s="3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25">
      <c r="A326" s="1"/>
      <c r="B326" s="33"/>
      <c r="C326" s="34"/>
      <c r="D326" s="34"/>
      <c r="E326" s="3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25">
      <c r="A327" s="1"/>
      <c r="B327" s="33"/>
      <c r="C327" s="34"/>
      <c r="D327" s="34"/>
      <c r="E327" s="3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25">
      <c r="A328" s="1"/>
      <c r="B328" s="33"/>
      <c r="C328" s="34"/>
      <c r="D328" s="34"/>
      <c r="E328" s="3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25">
      <c r="A329" s="1"/>
      <c r="B329" s="33"/>
      <c r="C329" s="34"/>
      <c r="D329" s="34"/>
      <c r="E329" s="3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25">
      <c r="A330" s="1"/>
      <c r="B330" s="33"/>
      <c r="C330" s="34"/>
      <c r="D330" s="34"/>
      <c r="E330" s="3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25">
      <c r="A331" s="1"/>
      <c r="B331" s="33"/>
      <c r="C331" s="34"/>
      <c r="D331" s="34"/>
      <c r="E331" s="3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25">
      <c r="A332" s="1"/>
      <c r="B332" s="33"/>
      <c r="C332" s="34"/>
      <c r="D332" s="34"/>
      <c r="E332" s="3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25">
      <c r="A333" s="1"/>
      <c r="B333" s="33"/>
      <c r="C333" s="34"/>
      <c r="D333" s="34"/>
      <c r="E333" s="3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25">
      <c r="A334" s="1"/>
      <c r="B334" s="33"/>
      <c r="C334" s="34"/>
      <c r="D334" s="34"/>
      <c r="E334" s="3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25">
      <c r="A335" s="1"/>
      <c r="B335" s="33"/>
      <c r="C335" s="34"/>
      <c r="D335" s="34"/>
      <c r="E335" s="3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25">
      <c r="A336" s="1"/>
      <c r="B336" s="33"/>
      <c r="C336" s="34"/>
      <c r="D336" s="34"/>
      <c r="E336" s="3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25">
      <c r="A337" s="1"/>
      <c r="B337" s="33"/>
      <c r="C337" s="34"/>
      <c r="D337" s="34"/>
      <c r="E337" s="3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25">
      <c r="A338" s="1"/>
      <c r="B338" s="33"/>
      <c r="C338" s="34"/>
      <c r="D338" s="34"/>
      <c r="E338" s="3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25">
      <c r="A339" s="1"/>
      <c r="B339" s="33"/>
      <c r="C339" s="34"/>
      <c r="D339" s="34"/>
      <c r="E339" s="3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25">
      <c r="A340" s="1"/>
      <c r="B340" s="33"/>
      <c r="C340" s="34"/>
      <c r="D340" s="34"/>
      <c r="E340" s="3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25">
      <c r="A341" s="1"/>
      <c r="B341" s="33"/>
      <c r="C341" s="34"/>
      <c r="D341" s="34"/>
      <c r="E341" s="3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25">
      <c r="A342" s="1"/>
      <c r="B342" s="33"/>
      <c r="C342" s="34"/>
      <c r="D342" s="34"/>
      <c r="E342" s="3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25">
      <c r="A343" s="1"/>
      <c r="B343" s="33"/>
      <c r="C343" s="34"/>
      <c r="D343" s="34"/>
      <c r="E343" s="3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25">
      <c r="A344" s="1"/>
      <c r="B344" s="33"/>
      <c r="C344" s="34"/>
      <c r="D344" s="34"/>
      <c r="E344" s="3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25">
      <c r="A345" s="1"/>
      <c r="B345" s="33"/>
      <c r="C345" s="34"/>
      <c r="D345" s="34"/>
      <c r="E345" s="3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25">
      <c r="A346" s="1"/>
      <c r="B346" s="33"/>
      <c r="C346" s="34"/>
      <c r="D346" s="34"/>
      <c r="E346" s="3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25">
      <c r="A347" s="1"/>
      <c r="B347" s="33"/>
      <c r="C347" s="34"/>
      <c r="D347" s="34"/>
      <c r="E347" s="3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25">
      <c r="A348" s="1"/>
      <c r="B348" s="33"/>
      <c r="C348" s="34"/>
      <c r="D348" s="34"/>
      <c r="E348" s="3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25">
      <c r="A349" s="1"/>
      <c r="B349" s="33"/>
      <c r="C349" s="34"/>
      <c r="D349" s="34"/>
      <c r="E349" s="3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25">
      <c r="A350" s="1"/>
      <c r="B350" s="33"/>
      <c r="C350" s="34"/>
      <c r="D350" s="34"/>
      <c r="E350" s="3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25">
      <c r="A351" s="1"/>
      <c r="B351" s="33"/>
      <c r="C351" s="34"/>
      <c r="D351" s="34"/>
      <c r="E351" s="3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25">
      <c r="A352" s="1"/>
      <c r="B352" s="33"/>
      <c r="C352" s="34"/>
      <c r="D352" s="34"/>
      <c r="E352" s="3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25">
      <c r="A353" s="1"/>
      <c r="B353" s="33"/>
      <c r="C353" s="34"/>
      <c r="D353" s="34"/>
      <c r="E353" s="3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25">
      <c r="A354" s="1"/>
      <c r="B354" s="33"/>
      <c r="C354" s="34"/>
      <c r="D354" s="34"/>
      <c r="E354" s="3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25">
      <c r="A355" s="1"/>
      <c r="B355" s="33"/>
      <c r="C355" s="34"/>
      <c r="D355" s="34"/>
      <c r="E355" s="3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25">
      <c r="A356" s="1"/>
      <c r="B356" s="33"/>
      <c r="C356" s="34"/>
      <c r="D356" s="34"/>
      <c r="E356" s="3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25">
      <c r="A357" s="1"/>
      <c r="B357" s="33"/>
      <c r="C357" s="34"/>
      <c r="D357" s="34"/>
      <c r="E357" s="3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25">
      <c r="A358" s="1"/>
      <c r="B358" s="33"/>
      <c r="C358" s="34"/>
      <c r="D358" s="34"/>
      <c r="E358" s="3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25">
      <c r="A359" s="1"/>
      <c r="B359" s="33"/>
      <c r="C359" s="34"/>
      <c r="D359" s="34"/>
      <c r="E359" s="3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25">
      <c r="A360" s="1"/>
      <c r="B360" s="33"/>
      <c r="C360" s="34"/>
      <c r="D360" s="34"/>
      <c r="E360" s="3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25">
      <c r="A361" s="1"/>
      <c r="B361" s="33"/>
      <c r="C361" s="34"/>
      <c r="D361" s="34"/>
      <c r="E361" s="3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25">
      <c r="A362" s="1"/>
      <c r="B362" s="33"/>
      <c r="C362" s="34"/>
      <c r="D362" s="34"/>
      <c r="E362" s="3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25">
      <c r="A363" s="1"/>
      <c r="B363" s="33"/>
      <c r="C363" s="34"/>
      <c r="D363" s="34"/>
      <c r="E363" s="3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25">
      <c r="A364" s="1"/>
      <c r="B364" s="33"/>
      <c r="C364" s="34"/>
      <c r="D364" s="34"/>
      <c r="E364" s="3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25">
      <c r="A365" s="1"/>
      <c r="B365" s="33"/>
      <c r="C365" s="34"/>
      <c r="D365" s="34"/>
      <c r="E365" s="3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25">
      <c r="A366" s="1"/>
      <c r="B366" s="33"/>
      <c r="C366" s="34"/>
      <c r="D366" s="34"/>
      <c r="E366" s="3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25">
      <c r="A367" s="1"/>
      <c r="B367" s="33"/>
      <c r="C367" s="34"/>
      <c r="D367" s="34"/>
      <c r="E367" s="3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25">
      <c r="A368" s="1"/>
      <c r="B368" s="33"/>
      <c r="C368" s="34"/>
      <c r="D368" s="34"/>
      <c r="E368" s="3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25">
      <c r="A369" s="1"/>
      <c r="B369" s="33"/>
      <c r="C369" s="34"/>
      <c r="D369" s="34"/>
      <c r="E369" s="3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25">
      <c r="A370" s="1"/>
      <c r="B370" s="33"/>
      <c r="C370" s="34"/>
      <c r="D370" s="34"/>
      <c r="E370" s="3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25">
      <c r="A371" s="1"/>
      <c r="B371" s="33"/>
      <c r="C371" s="34"/>
      <c r="D371" s="34"/>
      <c r="E371" s="3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25">
      <c r="A372" s="1"/>
      <c r="B372" s="33"/>
      <c r="C372" s="34"/>
      <c r="D372" s="34"/>
      <c r="E372" s="3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25">
      <c r="A373" s="1"/>
      <c r="B373" s="33"/>
      <c r="C373" s="34"/>
      <c r="D373" s="34"/>
      <c r="E373" s="3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25">
      <c r="A374" s="1"/>
      <c r="B374" s="33"/>
      <c r="C374" s="34"/>
      <c r="D374" s="34"/>
      <c r="E374" s="3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25">
      <c r="A375" s="1"/>
      <c r="B375" s="33"/>
      <c r="C375" s="34"/>
      <c r="D375" s="34"/>
      <c r="E375" s="3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25">
      <c r="A376" s="1"/>
      <c r="B376" s="33"/>
      <c r="C376" s="34"/>
      <c r="D376" s="34"/>
      <c r="E376" s="3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25">
      <c r="A377" s="1"/>
      <c r="B377" s="33"/>
      <c r="C377" s="34"/>
      <c r="D377" s="34"/>
      <c r="E377" s="3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25">
      <c r="A378" s="1"/>
      <c r="B378" s="33"/>
      <c r="C378" s="34"/>
      <c r="D378" s="34"/>
      <c r="E378" s="3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25">
      <c r="A379" s="1"/>
      <c r="B379" s="33"/>
      <c r="C379" s="34"/>
      <c r="D379" s="34"/>
      <c r="E379" s="3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25">
      <c r="A380" s="1"/>
      <c r="B380" s="33"/>
      <c r="C380" s="34"/>
      <c r="D380" s="34"/>
      <c r="E380" s="3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25">
      <c r="A381" s="1"/>
      <c r="B381" s="33"/>
      <c r="C381" s="34"/>
      <c r="D381" s="34"/>
      <c r="E381" s="3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25">
      <c r="A382" s="1"/>
      <c r="B382" s="33"/>
      <c r="C382" s="34"/>
      <c r="D382" s="34"/>
      <c r="E382" s="3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25">
      <c r="A383" s="1"/>
      <c r="B383" s="33"/>
      <c r="C383" s="34"/>
      <c r="D383" s="34"/>
      <c r="E383" s="3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25">
      <c r="A384" s="1"/>
      <c r="B384" s="33"/>
      <c r="C384" s="34"/>
      <c r="D384" s="34"/>
      <c r="E384" s="3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25">
      <c r="A385" s="1"/>
      <c r="B385" s="33"/>
      <c r="C385" s="34"/>
      <c r="D385" s="34"/>
      <c r="E385" s="3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25">
      <c r="A386" s="1"/>
      <c r="B386" s="33"/>
      <c r="C386" s="34"/>
      <c r="D386" s="34"/>
      <c r="E386" s="3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25">
      <c r="A387" s="1"/>
      <c r="B387" s="33"/>
      <c r="C387" s="34"/>
      <c r="D387" s="34"/>
      <c r="E387" s="3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25">
      <c r="A388" s="1"/>
      <c r="B388" s="33"/>
      <c r="C388" s="34"/>
      <c r="D388" s="34"/>
      <c r="E388" s="3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25">
      <c r="A389" s="1"/>
      <c r="B389" s="33"/>
      <c r="C389" s="34"/>
      <c r="D389" s="34"/>
      <c r="E389" s="3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25">
      <c r="A390" s="1"/>
      <c r="B390" s="33"/>
      <c r="C390" s="34"/>
      <c r="D390" s="34"/>
      <c r="E390" s="3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25">
      <c r="A391" s="1"/>
      <c r="B391" s="33"/>
      <c r="C391" s="34"/>
      <c r="D391" s="34"/>
      <c r="E391" s="3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25">
      <c r="A392" s="1"/>
      <c r="B392" s="33"/>
      <c r="C392" s="34"/>
      <c r="D392" s="34"/>
      <c r="E392" s="3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25">
      <c r="A393" s="1"/>
      <c r="B393" s="33"/>
      <c r="C393" s="34"/>
      <c r="D393" s="34"/>
      <c r="E393" s="3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25">
      <c r="A394" s="1"/>
      <c r="B394" s="33"/>
      <c r="C394" s="34"/>
      <c r="D394" s="34"/>
      <c r="E394" s="3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25">
      <c r="A395" s="1"/>
      <c r="B395" s="33"/>
      <c r="C395" s="34"/>
      <c r="D395" s="34"/>
      <c r="E395" s="3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25">
      <c r="A396" s="1"/>
      <c r="B396" s="33"/>
      <c r="C396" s="34"/>
      <c r="D396" s="34"/>
      <c r="E396" s="3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25">
      <c r="A397" s="1"/>
      <c r="B397" s="33"/>
      <c r="C397" s="34"/>
      <c r="D397" s="34"/>
      <c r="E397" s="3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25">
      <c r="A398" s="1"/>
      <c r="B398" s="33"/>
      <c r="C398" s="34"/>
      <c r="D398" s="34"/>
      <c r="E398" s="3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25">
      <c r="A399" s="1"/>
      <c r="B399" s="33"/>
      <c r="C399" s="34"/>
      <c r="D399" s="34"/>
      <c r="E399" s="3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25">
      <c r="A400" s="1"/>
      <c r="B400" s="33"/>
      <c r="C400" s="34"/>
      <c r="D400" s="34"/>
      <c r="E400" s="3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25">
      <c r="A401" s="1"/>
      <c r="B401" s="33"/>
      <c r="C401" s="34"/>
      <c r="D401" s="34"/>
      <c r="E401" s="3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25">
      <c r="A402" s="1"/>
      <c r="B402" s="33"/>
      <c r="C402" s="34"/>
      <c r="D402" s="34"/>
      <c r="E402" s="3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25">
      <c r="A403" s="1"/>
      <c r="B403" s="33"/>
      <c r="C403" s="34"/>
      <c r="D403" s="34"/>
      <c r="E403" s="3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25">
      <c r="A404" s="1"/>
      <c r="B404" s="33"/>
      <c r="C404" s="34"/>
      <c r="D404" s="34"/>
      <c r="E404" s="3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25">
      <c r="A405" s="1"/>
      <c r="B405" s="33"/>
      <c r="C405" s="34"/>
      <c r="D405" s="34"/>
      <c r="E405" s="3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25">
      <c r="A406" s="1"/>
      <c r="B406" s="33"/>
      <c r="C406" s="34"/>
      <c r="D406" s="34"/>
      <c r="E406" s="3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25">
      <c r="A407" s="1"/>
      <c r="B407" s="33"/>
      <c r="C407" s="34"/>
      <c r="D407" s="34"/>
      <c r="E407" s="3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25">
      <c r="A408" s="1"/>
      <c r="B408" s="33"/>
      <c r="C408" s="34"/>
      <c r="D408" s="34"/>
      <c r="E408" s="3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25">
      <c r="A409" s="1"/>
      <c r="B409" s="33"/>
      <c r="C409" s="34"/>
      <c r="D409" s="34"/>
      <c r="E409" s="3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25">
      <c r="A410" s="1"/>
      <c r="B410" s="33"/>
      <c r="C410" s="34"/>
      <c r="D410" s="34"/>
      <c r="E410" s="3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25">
      <c r="A411" s="1"/>
      <c r="B411" s="33"/>
      <c r="C411" s="34"/>
      <c r="D411" s="34"/>
      <c r="E411" s="3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25">
      <c r="A412" s="1"/>
      <c r="B412" s="33"/>
      <c r="C412" s="34"/>
      <c r="D412" s="34"/>
      <c r="E412" s="3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25">
      <c r="A413" s="1"/>
      <c r="B413" s="33"/>
      <c r="C413" s="34"/>
      <c r="D413" s="34"/>
      <c r="E413" s="3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25">
      <c r="A414" s="1"/>
      <c r="B414" s="33"/>
      <c r="C414" s="34"/>
      <c r="D414" s="34"/>
      <c r="E414" s="3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25">
      <c r="A415" s="1"/>
      <c r="B415" s="33"/>
      <c r="C415" s="34"/>
      <c r="D415" s="34"/>
      <c r="E415" s="3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25">
      <c r="A416" s="1"/>
      <c r="B416" s="33"/>
      <c r="C416" s="34"/>
      <c r="D416" s="34"/>
      <c r="E416" s="3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25">
      <c r="A417" s="1"/>
      <c r="B417" s="33"/>
      <c r="C417" s="34"/>
      <c r="D417" s="34"/>
      <c r="E417" s="3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25">
      <c r="A418" s="1"/>
      <c r="B418" s="33"/>
      <c r="C418" s="34"/>
      <c r="D418" s="34"/>
      <c r="E418" s="3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25">
      <c r="A419" s="1"/>
      <c r="B419" s="33"/>
      <c r="C419" s="34"/>
      <c r="D419" s="34"/>
      <c r="E419" s="3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25">
      <c r="A420" s="1"/>
      <c r="B420" s="33"/>
      <c r="C420" s="34"/>
      <c r="D420" s="34"/>
      <c r="E420" s="3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25">
      <c r="A421" s="1"/>
      <c r="B421" s="33"/>
      <c r="C421" s="34"/>
      <c r="D421" s="34"/>
      <c r="E421" s="3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25">
      <c r="A422" s="1"/>
      <c r="B422" s="33"/>
      <c r="C422" s="34"/>
      <c r="D422" s="34"/>
      <c r="E422" s="3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25">
      <c r="A423" s="1"/>
      <c r="B423" s="33"/>
      <c r="C423" s="34"/>
      <c r="D423" s="34"/>
      <c r="E423" s="3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25">
      <c r="A424" s="1"/>
      <c r="B424" s="33"/>
      <c r="C424" s="34"/>
      <c r="D424" s="34"/>
      <c r="E424" s="3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25">
      <c r="A425" s="1"/>
      <c r="B425" s="33"/>
      <c r="C425" s="34"/>
      <c r="D425" s="34"/>
      <c r="E425" s="3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25">
      <c r="A426" s="1"/>
      <c r="B426" s="33"/>
      <c r="C426" s="34"/>
      <c r="D426" s="34"/>
      <c r="E426" s="3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25">
      <c r="A427" s="1"/>
      <c r="B427" s="33"/>
      <c r="C427" s="34"/>
      <c r="D427" s="34"/>
      <c r="E427" s="3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25">
      <c r="A428" s="1"/>
      <c r="B428" s="33"/>
      <c r="C428" s="34"/>
      <c r="D428" s="34"/>
      <c r="E428" s="3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25">
      <c r="A429" s="1"/>
      <c r="B429" s="33"/>
      <c r="C429" s="34"/>
      <c r="D429" s="34"/>
      <c r="E429" s="3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25">
      <c r="A430" s="1"/>
      <c r="B430" s="33"/>
      <c r="C430" s="34"/>
      <c r="D430" s="34"/>
      <c r="E430" s="3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25">
      <c r="A431" s="1"/>
      <c r="B431" s="33"/>
      <c r="C431" s="34"/>
      <c r="D431" s="34"/>
      <c r="E431" s="3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25">
      <c r="A432" s="1"/>
      <c r="B432" s="33"/>
      <c r="C432" s="34"/>
      <c r="D432" s="34"/>
      <c r="E432" s="3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25">
      <c r="A433" s="1"/>
      <c r="B433" s="33"/>
      <c r="C433" s="34"/>
      <c r="D433" s="34"/>
      <c r="E433" s="3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25">
      <c r="A434" s="1"/>
      <c r="B434" s="33"/>
      <c r="C434" s="34"/>
      <c r="D434" s="34"/>
      <c r="E434" s="3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25">
      <c r="A435" s="1"/>
      <c r="B435" s="33"/>
      <c r="C435" s="34"/>
      <c r="D435" s="34"/>
      <c r="E435" s="3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25">
      <c r="A436" s="1"/>
      <c r="B436" s="33"/>
      <c r="C436" s="34"/>
      <c r="D436" s="34"/>
      <c r="E436" s="3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25">
      <c r="A437" s="1"/>
      <c r="B437" s="33"/>
      <c r="C437" s="34"/>
      <c r="D437" s="34"/>
      <c r="E437" s="3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25">
      <c r="A438" s="1"/>
      <c r="B438" s="33"/>
      <c r="C438" s="34"/>
      <c r="D438" s="34"/>
      <c r="E438" s="3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25">
      <c r="A439" s="1"/>
      <c r="B439" s="33"/>
      <c r="C439" s="34"/>
      <c r="D439" s="34"/>
      <c r="E439" s="3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25">
      <c r="A440" s="1"/>
      <c r="B440" s="33"/>
      <c r="C440" s="34"/>
      <c r="D440" s="34"/>
      <c r="E440" s="3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25">
      <c r="A441" s="1"/>
      <c r="B441" s="33"/>
      <c r="C441" s="34"/>
      <c r="D441" s="34"/>
      <c r="E441" s="3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25">
      <c r="A442" s="1"/>
      <c r="B442" s="33"/>
      <c r="C442" s="34"/>
      <c r="D442" s="34"/>
      <c r="E442" s="3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25">
      <c r="A443" s="1"/>
      <c r="B443" s="33"/>
      <c r="C443" s="34"/>
      <c r="D443" s="34"/>
      <c r="E443" s="3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25">
      <c r="A444" s="1"/>
      <c r="B444" s="33"/>
      <c r="C444" s="34"/>
      <c r="D444" s="34"/>
      <c r="E444" s="3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25">
      <c r="A445" s="1"/>
      <c r="B445" s="33"/>
      <c r="C445" s="34"/>
      <c r="D445" s="34"/>
      <c r="E445" s="3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25">
      <c r="A446" s="1"/>
      <c r="B446" s="33"/>
      <c r="C446" s="34"/>
      <c r="D446" s="34"/>
      <c r="E446" s="3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25">
      <c r="A447" s="1"/>
      <c r="B447" s="33"/>
      <c r="C447" s="34"/>
      <c r="D447" s="34"/>
      <c r="E447" s="3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25">
      <c r="A448" s="1"/>
      <c r="B448" s="33"/>
      <c r="C448" s="34"/>
      <c r="D448" s="34"/>
      <c r="E448" s="3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25">
      <c r="A449" s="1"/>
      <c r="B449" s="33"/>
      <c r="C449" s="34"/>
      <c r="D449" s="34"/>
      <c r="E449" s="3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25">
      <c r="A450" s="1"/>
      <c r="B450" s="33"/>
      <c r="C450" s="34"/>
      <c r="D450" s="34"/>
      <c r="E450" s="3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25">
      <c r="A451" s="1"/>
      <c r="B451" s="33"/>
      <c r="C451" s="34"/>
      <c r="D451" s="34"/>
      <c r="E451" s="3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25">
      <c r="A452" s="1"/>
      <c r="B452" s="33"/>
      <c r="C452" s="34"/>
      <c r="D452" s="34"/>
      <c r="E452" s="3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25">
      <c r="A453" s="1"/>
      <c r="B453" s="33"/>
      <c r="C453" s="34"/>
      <c r="D453" s="34"/>
      <c r="E453" s="3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25">
      <c r="A454" s="1"/>
      <c r="B454" s="33"/>
      <c r="C454" s="34"/>
      <c r="D454" s="34"/>
      <c r="E454" s="3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25">
      <c r="A455" s="1"/>
      <c r="B455" s="33"/>
      <c r="C455" s="34"/>
      <c r="D455" s="34"/>
      <c r="E455" s="3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25">
      <c r="A456" s="1"/>
      <c r="B456" s="33"/>
      <c r="C456" s="34"/>
      <c r="D456" s="34"/>
      <c r="E456" s="3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25">
      <c r="A457" s="1"/>
      <c r="B457" s="33"/>
      <c r="C457" s="34"/>
      <c r="D457" s="34"/>
      <c r="E457" s="3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25">
      <c r="A458" s="1"/>
      <c r="B458" s="33"/>
      <c r="C458" s="34"/>
      <c r="D458" s="34"/>
      <c r="E458" s="3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25">
      <c r="A459" s="1"/>
      <c r="B459" s="33"/>
      <c r="C459" s="34"/>
      <c r="D459" s="34"/>
      <c r="E459" s="3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25">
      <c r="A460" s="1"/>
      <c r="B460" s="33"/>
      <c r="C460" s="34"/>
      <c r="D460" s="34"/>
      <c r="E460" s="3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25">
      <c r="A461" s="1"/>
      <c r="B461" s="33"/>
      <c r="C461" s="34"/>
      <c r="D461" s="34"/>
      <c r="E461" s="3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25">
      <c r="A462" s="1"/>
      <c r="B462" s="33"/>
      <c r="C462" s="34"/>
      <c r="D462" s="34"/>
      <c r="E462" s="3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25">
      <c r="A463" s="1"/>
      <c r="B463" s="33"/>
      <c r="C463" s="34"/>
      <c r="D463" s="34"/>
      <c r="E463" s="3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25">
      <c r="A464" s="1"/>
      <c r="B464" s="33"/>
      <c r="C464" s="34"/>
      <c r="D464" s="34"/>
      <c r="E464" s="3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25">
      <c r="A465" s="1"/>
      <c r="B465" s="33"/>
      <c r="C465" s="34"/>
      <c r="D465" s="34"/>
      <c r="E465" s="3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25">
      <c r="A466" s="1"/>
      <c r="B466" s="33"/>
      <c r="C466" s="34"/>
      <c r="D466" s="34"/>
      <c r="E466" s="3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25">
      <c r="A467" s="1"/>
      <c r="B467" s="33"/>
      <c r="C467" s="34"/>
      <c r="D467" s="34"/>
      <c r="E467" s="3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25">
      <c r="A468" s="1"/>
      <c r="B468" s="33"/>
      <c r="C468" s="34"/>
      <c r="D468" s="34"/>
      <c r="E468" s="3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25">
      <c r="A469" s="1"/>
      <c r="B469" s="33"/>
      <c r="C469" s="34"/>
      <c r="D469" s="34"/>
      <c r="E469" s="3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25">
      <c r="A470" s="1"/>
      <c r="B470" s="33"/>
      <c r="C470" s="34"/>
      <c r="D470" s="34"/>
      <c r="E470" s="3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25">
      <c r="A471" s="1"/>
      <c r="B471" s="33"/>
      <c r="C471" s="34"/>
      <c r="D471" s="34"/>
      <c r="E471" s="3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25">
      <c r="A472" s="1"/>
      <c r="B472" s="33"/>
      <c r="C472" s="34"/>
      <c r="D472" s="34"/>
      <c r="E472" s="3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25">
      <c r="A473" s="1"/>
      <c r="B473" s="33"/>
      <c r="C473" s="34"/>
      <c r="D473" s="34"/>
      <c r="E473" s="3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25">
      <c r="A474" s="1"/>
      <c r="B474" s="33"/>
      <c r="C474" s="34"/>
      <c r="D474" s="34"/>
      <c r="E474" s="3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25">
      <c r="A475" s="1"/>
      <c r="B475" s="33"/>
      <c r="C475" s="34"/>
      <c r="D475" s="34"/>
      <c r="E475" s="3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25">
      <c r="A476" s="1"/>
      <c r="B476" s="33"/>
      <c r="C476" s="34"/>
      <c r="D476" s="34"/>
      <c r="E476" s="3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25">
      <c r="A477" s="1"/>
      <c r="B477" s="33"/>
      <c r="C477" s="34"/>
      <c r="D477" s="34"/>
      <c r="E477" s="3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25">
      <c r="A478" s="1"/>
      <c r="B478" s="33"/>
      <c r="C478" s="34"/>
      <c r="D478" s="34"/>
      <c r="E478" s="3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25">
      <c r="A479" s="1"/>
      <c r="B479" s="33"/>
      <c r="C479" s="34"/>
      <c r="D479" s="34"/>
      <c r="E479" s="3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25">
      <c r="A480" s="1"/>
      <c r="B480" s="33"/>
      <c r="C480" s="34"/>
      <c r="D480" s="34"/>
      <c r="E480" s="3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25">
      <c r="A481" s="1"/>
      <c r="B481" s="33"/>
      <c r="C481" s="34"/>
      <c r="D481" s="34"/>
      <c r="E481" s="3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25">
      <c r="A482" s="1"/>
      <c r="B482" s="33"/>
      <c r="C482" s="34"/>
      <c r="D482" s="34"/>
      <c r="E482" s="3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25">
      <c r="A483" s="1"/>
      <c r="B483" s="33"/>
      <c r="C483" s="34"/>
      <c r="D483" s="34"/>
      <c r="E483" s="3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25">
      <c r="A484" s="1"/>
      <c r="B484" s="33"/>
      <c r="C484" s="34"/>
      <c r="D484" s="34"/>
      <c r="E484" s="3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25">
      <c r="A485" s="1"/>
      <c r="B485" s="33"/>
      <c r="C485" s="34"/>
      <c r="D485" s="34"/>
      <c r="E485" s="3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25">
      <c r="A486" s="1"/>
      <c r="B486" s="33"/>
      <c r="C486" s="34"/>
      <c r="D486" s="34"/>
      <c r="E486" s="3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25">
      <c r="A487" s="1"/>
      <c r="B487" s="33"/>
      <c r="C487" s="34"/>
      <c r="D487" s="34"/>
      <c r="E487" s="3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25">
      <c r="A488" s="1"/>
      <c r="B488" s="33"/>
      <c r="C488" s="34"/>
      <c r="D488" s="34"/>
      <c r="E488" s="3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25">
      <c r="A489" s="1"/>
      <c r="B489" s="33"/>
      <c r="C489" s="34"/>
      <c r="D489" s="34"/>
      <c r="E489" s="3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25">
      <c r="A490" s="1"/>
      <c r="B490" s="33"/>
      <c r="C490" s="34"/>
      <c r="D490" s="34"/>
      <c r="E490" s="3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25">
      <c r="A491" s="1"/>
      <c r="B491" s="33"/>
      <c r="C491" s="34"/>
      <c r="D491" s="34"/>
      <c r="E491" s="3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25">
      <c r="A492" s="1"/>
      <c r="B492" s="33"/>
      <c r="C492" s="34"/>
      <c r="D492" s="34"/>
      <c r="E492" s="3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25">
      <c r="A493" s="1"/>
      <c r="B493" s="33"/>
      <c r="C493" s="34"/>
      <c r="D493" s="34"/>
      <c r="E493" s="3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25">
      <c r="A494" s="1"/>
      <c r="B494" s="33"/>
      <c r="C494" s="34"/>
      <c r="D494" s="34"/>
      <c r="E494" s="3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25">
      <c r="A495" s="1"/>
      <c r="B495" s="33"/>
      <c r="C495" s="34"/>
      <c r="D495" s="34"/>
      <c r="E495" s="3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25">
      <c r="A496" s="1"/>
      <c r="B496" s="33"/>
      <c r="C496" s="34"/>
      <c r="D496" s="34"/>
      <c r="E496" s="3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25">
      <c r="A497" s="1"/>
      <c r="B497" s="33"/>
      <c r="C497" s="34"/>
      <c r="D497" s="34"/>
      <c r="E497" s="3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25">
      <c r="A498" s="1"/>
      <c r="B498" s="33"/>
      <c r="C498" s="34"/>
      <c r="D498" s="34"/>
      <c r="E498" s="3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25">
      <c r="A499" s="1"/>
      <c r="B499" s="33"/>
      <c r="C499" s="34"/>
      <c r="D499" s="34"/>
      <c r="E499" s="3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25">
      <c r="A500" s="1"/>
      <c r="B500" s="33"/>
      <c r="C500" s="34"/>
      <c r="D500" s="34"/>
      <c r="E500" s="3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25">
      <c r="A501" s="1"/>
      <c r="B501" s="33"/>
      <c r="C501" s="34"/>
      <c r="D501" s="34"/>
      <c r="E501" s="3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25">
      <c r="A502" s="1"/>
      <c r="B502" s="33"/>
      <c r="C502" s="34"/>
      <c r="D502" s="34"/>
      <c r="E502" s="3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25">
      <c r="A503" s="1"/>
      <c r="B503" s="33"/>
      <c r="C503" s="34"/>
      <c r="D503" s="34"/>
      <c r="E503" s="3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25">
      <c r="A504" s="1"/>
      <c r="B504" s="33"/>
      <c r="C504" s="34"/>
      <c r="D504" s="34"/>
      <c r="E504" s="3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25">
      <c r="A505" s="1"/>
      <c r="B505" s="33"/>
      <c r="C505" s="34"/>
      <c r="D505" s="34"/>
      <c r="E505" s="3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25">
      <c r="A506" s="1"/>
      <c r="B506" s="33"/>
      <c r="C506" s="34"/>
      <c r="D506" s="34"/>
      <c r="E506" s="3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25">
      <c r="A507" s="1"/>
      <c r="B507" s="33"/>
      <c r="C507" s="34"/>
      <c r="D507" s="34"/>
      <c r="E507" s="3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25">
      <c r="A508" s="1"/>
      <c r="B508" s="33"/>
      <c r="C508" s="34"/>
      <c r="D508" s="34"/>
      <c r="E508" s="3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25">
      <c r="A509" s="1"/>
      <c r="B509" s="33"/>
      <c r="C509" s="34"/>
      <c r="D509" s="34"/>
      <c r="E509" s="3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25">
      <c r="A510" s="1"/>
      <c r="B510" s="33"/>
      <c r="C510" s="34"/>
      <c r="D510" s="34"/>
      <c r="E510" s="3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25">
      <c r="A511" s="1"/>
      <c r="B511" s="33"/>
      <c r="C511" s="34"/>
      <c r="D511" s="34"/>
      <c r="E511" s="3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25">
      <c r="A512" s="1"/>
      <c r="B512" s="33"/>
      <c r="C512" s="34"/>
      <c r="D512" s="34"/>
      <c r="E512" s="3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25">
      <c r="A513" s="1"/>
      <c r="B513" s="33"/>
      <c r="C513" s="34"/>
      <c r="D513" s="34"/>
      <c r="E513" s="3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25">
      <c r="A514" s="1"/>
      <c r="B514" s="33"/>
      <c r="C514" s="34"/>
      <c r="D514" s="34"/>
      <c r="E514" s="3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25">
      <c r="A515" s="1"/>
      <c r="B515" s="33"/>
      <c r="C515" s="34"/>
      <c r="D515" s="34"/>
      <c r="E515" s="3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25">
      <c r="A516" s="1"/>
      <c r="B516" s="33"/>
      <c r="C516" s="34"/>
      <c r="D516" s="34"/>
      <c r="E516" s="3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25">
      <c r="A517" s="1"/>
      <c r="B517" s="33"/>
      <c r="C517" s="34"/>
      <c r="D517" s="34"/>
      <c r="E517" s="3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25">
      <c r="A518" s="1"/>
      <c r="B518" s="33"/>
      <c r="C518" s="34"/>
      <c r="D518" s="34"/>
      <c r="E518" s="3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25">
      <c r="A519" s="1"/>
      <c r="B519" s="33"/>
      <c r="C519" s="34"/>
      <c r="D519" s="34"/>
      <c r="E519" s="3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25">
      <c r="A520" s="1"/>
      <c r="B520" s="33"/>
      <c r="C520" s="34"/>
      <c r="D520" s="34"/>
      <c r="E520" s="3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25">
      <c r="A521" s="1"/>
      <c r="B521" s="33"/>
      <c r="C521" s="34"/>
      <c r="D521" s="34"/>
      <c r="E521" s="3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25">
      <c r="A522" s="1"/>
      <c r="B522" s="33"/>
      <c r="C522" s="34"/>
      <c r="D522" s="34"/>
      <c r="E522" s="3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25">
      <c r="A523" s="1"/>
      <c r="B523" s="33"/>
      <c r="C523" s="34"/>
      <c r="D523" s="34"/>
      <c r="E523" s="3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25">
      <c r="A524" s="1"/>
      <c r="B524" s="33"/>
      <c r="C524" s="34"/>
      <c r="D524" s="34"/>
      <c r="E524" s="3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25">
      <c r="A525" s="1"/>
      <c r="B525" s="33"/>
      <c r="C525" s="34"/>
      <c r="D525" s="34"/>
      <c r="E525" s="3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25">
      <c r="A526" s="1"/>
      <c r="B526" s="33"/>
      <c r="C526" s="34"/>
      <c r="D526" s="34"/>
      <c r="E526" s="3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25">
      <c r="A527" s="1"/>
      <c r="B527" s="33"/>
      <c r="C527" s="34"/>
      <c r="D527" s="34"/>
      <c r="E527" s="3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25">
      <c r="A528" s="1"/>
      <c r="B528" s="33"/>
      <c r="C528" s="34"/>
      <c r="D528" s="34"/>
      <c r="E528" s="3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25">
      <c r="A529" s="1"/>
      <c r="B529" s="33"/>
      <c r="C529" s="34"/>
      <c r="D529" s="34"/>
      <c r="E529" s="3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25">
      <c r="A530" s="1"/>
      <c r="B530" s="33"/>
      <c r="C530" s="34"/>
      <c r="D530" s="34"/>
      <c r="E530" s="3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25">
      <c r="A531" s="1"/>
      <c r="B531" s="33"/>
      <c r="C531" s="34"/>
      <c r="D531" s="34"/>
      <c r="E531" s="3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25">
      <c r="A532" s="1"/>
      <c r="B532" s="33"/>
      <c r="C532" s="34"/>
      <c r="D532" s="34"/>
      <c r="E532" s="3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25">
      <c r="A533" s="1"/>
      <c r="B533" s="33"/>
      <c r="C533" s="34"/>
      <c r="D533" s="34"/>
      <c r="E533" s="3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25">
      <c r="A534" s="1"/>
      <c r="B534" s="33"/>
      <c r="C534" s="34"/>
      <c r="D534" s="34"/>
      <c r="E534" s="3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25">
      <c r="A535" s="1"/>
      <c r="B535" s="33"/>
      <c r="C535" s="34"/>
      <c r="D535" s="34"/>
      <c r="E535" s="3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25">
      <c r="A536" s="1"/>
      <c r="B536" s="33"/>
      <c r="C536" s="34"/>
      <c r="D536" s="34"/>
      <c r="E536" s="3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25">
      <c r="A537" s="1"/>
      <c r="B537" s="33"/>
      <c r="C537" s="34"/>
      <c r="D537" s="34"/>
      <c r="E537" s="3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25">
      <c r="A538" s="1"/>
      <c r="B538" s="33"/>
      <c r="C538" s="34"/>
      <c r="D538" s="34"/>
      <c r="E538" s="3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25">
      <c r="A539" s="1"/>
      <c r="B539" s="33"/>
      <c r="C539" s="34"/>
      <c r="D539" s="34"/>
      <c r="E539" s="3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25">
      <c r="A540" s="1"/>
      <c r="B540" s="33"/>
      <c r="C540" s="34"/>
      <c r="D540" s="34"/>
      <c r="E540" s="3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25">
      <c r="A541" s="1"/>
      <c r="B541" s="33"/>
      <c r="C541" s="34"/>
      <c r="D541" s="34"/>
      <c r="E541" s="3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25">
      <c r="A542" s="1"/>
      <c r="B542" s="33"/>
      <c r="C542" s="34"/>
      <c r="D542" s="34"/>
      <c r="E542" s="3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25">
      <c r="A543" s="1"/>
      <c r="B543" s="33"/>
      <c r="C543" s="34"/>
      <c r="D543" s="34"/>
      <c r="E543" s="3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25">
      <c r="A544" s="1"/>
      <c r="B544" s="33"/>
      <c r="C544" s="34"/>
      <c r="D544" s="34"/>
      <c r="E544" s="3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25">
      <c r="A545" s="1"/>
      <c r="B545" s="33"/>
      <c r="C545" s="34"/>
      <c r="D545" s="34"/>
      <c r="E545" s="3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25">
      <c r="A546" s="1"/>
      <c r="B546" s="33"/>
      <c r="C546" s="34"/>
      <c r="D546" s="34"/>
      <c r="E546" s="3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25">
      <c r="A547" s="1"/>
      <c r="B547" s="33"/>
      <c r="C547" s="34"/>
      <c r="D547" s="34"/>
      <c r="E547" s="3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25">
      <c r="A548" s="1"/>
      <c r="B548" s="33"/>
      <c r="C548" s="34"/>
      <c r="D548" s="34"/>
      <c r="E548" s="3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25">
      <c r="A549" s="1"/>
      <c r="B549" s="33"/>
      <c r="C549" s="34"/>
      <c r="D549" s="34"/>
      <c r="E549" s="3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25">
      <c r="A550" s="1"/>
      <c r="B550" s="33"/>
      <c r="C550" s="34"/>
      <c r="D550" s="34"/>
      <c r="E550" s="3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5">
      <c r="A551" s="1"/>
      <c r="B551" s="33"/>
      <c r="C551" s="34"/>
      <c r="D551" s="34"/>
      <c r="E551" s="3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5">
      <c r="A552" s="1"/>
      <c r="B552" s="33"/>
      <c r="C552" s="34"/>
      <c r="D552" s="34"/>
      <c r="E552" s="3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5">
      <c r="A553" s="1"/>
      <c r="B553" s="33"/>
      <c r="C553" s="34"/>
      <c r="D553" s="34"/>
      <c r="E553" s="3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5">
      <c r="A554" s="1"/>
      <c r="B554" s="33"/>
      <c r="C554" s="34"/>
      <c r="D554" s="34"/>
      <c r="E554" s="3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5">
      <c r="A555" s="1"/>
      <c r="B555" s="33"/>
      <c r="C555" s="34"/>
      <c r="D555" s="34"/>
      <c r="E555" s="3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5">
      <c r="A556" s="1"/>
      <c r="B556" s="33"/>
      <c r="C556" s="34"/>
      <c r="D556" s="34"/>
      <c r="E556" s="3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5">
      <c r="A557" s="1"/>
      <c r="B557" s="33"/>
      <c r="C557" s="34"/>
      <c r="D557" s="34"/>
      <c r="E557" s="3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5">
      <c r="A558" s="1"/>
      <c r="B558" s="33"/>
      <c r="C558" s="34"/>
      <c r="D558" s="34"/>
      <c r="E558" s="3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5">
      <c r="A559" s="1"/>
      <c r="B559" s="33"/>
      <c r="C559" s="34"/>
      <c r="D559" s="34"/>
      <c r="E559" s="3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5">
      <c r="A560" s="1"/>
      <c r="B560" s="33"/>
      <c r="C560" s="34"/>
      <c r="D560" s="34"/>
      <c r="E560" s="3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5">
      <c r="A561" s="1"/>
      <c r="B561" s="33"/>
      <c r="C561" s="34"/>
      <c r="D561" s="34"/>
      <c r="E561" s="3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5">
      <c r="A562" s="1"/>
      <c r="B562" s="33"/>
      <c r="C562" s="34"/>
      <c r="D562" s="34"/>
      <c r="E562" s="3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5">
      <c r="A563" s="1"/>
      <c r="B563" s="33"/>
      <c r="C563" s="34"/>
      <c r="D563" s="34"/>
      <c r="E563" s="3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5">
      <c r="A564" s="1"/>
      <c r="B564" s="33"/>
      <c r="C564" s="34"/>
      <c r="D564" s="34"/>
      <c r="E564" s="3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5">
      <c r="A565" s="1"/>
      <c r="B565" s="33"/>
      <c r="C565" s="34"/>
      <c r="D565" s="34"/>
      <c r="E565" s="3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5">
      <c r="A566" s="1"/>
      <c r="B566" s="33"/>
      <c r="C566" s="34"/>
      <c r="D566" s="34"/>
      <c r="E566" s="3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25">
      <c r="A567" s="1"/>
      <c r="B567" s="33"/>
      <c r="C567" s="34"/>
      <c r="D567" s="34"/>
      <c r="E567" s="3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25">
      <c r="A568" s="1"/>
      <c r="B568" s="33"/>
      <c r="C568" s="34"/>
      <c r="D568" s="34"/>
      <c r="E568" s="3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25">
      <c r="A569" s="1"/>
      <c r="B569" s="33"/>
      <c r="C569" s="34"/>
      <c r="D569" s="34"/>
      <c r="E569" s="3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25">
      <c r="A570" s="1"/>
      <c r="B570" s="33"/>
      <c r="C570" s="34"/>
      <c r="D570" s="34"/>
      <c r="E570" s="3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25">
      <c r="A571" s="1"/>
      <c r="B571" s="33"/>
      <c r="C571" s="34"/>
      <c r="D571" s="34"/>
      <c r="E571" s="3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25">
      <c r="A572" s="1"/>
      <c r="B572" s="33"/>
      <c r="C572" s="34"/>
      <c r="D572" s="34"/>
      <c r="E572" s="3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25">
      <c r="A573" s="1"/>
      <c r="B573" s="33"/>
      <c r="C573" s="34"/>
      <c r="D573" s="34"/>
      <c r="E573" s="3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25">
      <c r="A574" s="1"/>
      <c r="B574" s="33"/>
      <c r="C574" s="34"/>
      <c r="D574" s="34"/>
      <c r="E574" s="3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25">
      <c r="A575" s="1"/>
      <c r="B575" s="33"/>
      <c r="C575" s="34"/>
      <c r="D575" s="34"/>
      <c r="E575" s="3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25">
      <c r="A576" s="1"/>
      <c r="B576" s="33"/>
      <c r="C576" s="34"/>
      <c r="D576" s="34"/>
      <c r="E576" s="3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25">
      <c r="A577" s="1"/>
      <c r="B577" s="33"/>
      <c r="C577" s="34"/>
      <c r="D577" s="34"/>
      <c r="E577" s="3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25">
      <c r="A578" s="1"/>
      <c r="B578" s="33"/>
      <c r="C578" s="34"/>
      <c r="D578" s="34"/>
      <c r="E578" s="3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25">
      <c r="A579" s="1"/>
      <c r="B579" s="33"/>
      <c r="C579" s="34"/>
      <c r="D579" s="34"/>
      <c r="E579" s="3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25">
      <c r="A580" s="1"/>
      <c r="B580" s="33"/>
      <c r="C580" s="34"/>
      <c r="D580" s="34"/>
      <c r="E580" s="3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25">
      <c r="A581" s="1"/>
      <c r="B581" s="33"/>
      <c r="C581" s="34"/>
      <c r="D581" s="34"/>
      <c r="E581" s="3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25">
      <c r="A582" s="1"/>
      <c r="B582" s="33"/>
      <c r="C582" s="34"/>
      <c r="D582" s="34"/>
      <c r="E582" s="3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25">
      <c r="A583" s="1"/>
      <c r="B583" s="33"/>
      <c r="C583" s="34"/>
      <c r="D583" s="34"/>
      <c r="E583" s="3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25">
      <c r="A584" s="1"/>
      <c r="B584" s="33"/>
      <c r="C584" s="34"/>
      <c r="D584" s="34"/>
      <c r="E584" s="3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25">
      <c r="A585" s="1"/>
      <c r="B585" s="33"/>
      <c r="C585" s="34"/>
      <c r="D585" s="34"/>
      <c r="E585" s="3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25">
      <c r="A586" s="1"/>
      <c r="B586" s="33"/>
      <c r="C586" s="34"/>
      <c r="D586" s="34"/>
      <c r="E586" s="3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25">
      <c r="A587" s="1"/>
      <c r="B587" s="33"/>
      <c r="C587" s="34"/>
      <c r="D587" s="34"/>
      <c r="E587" s="3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25">
      <c r="A588" s="1"/>
      <c r="B588" s="33"/>
      <c r="C588" s="34"/>
      <c r="D588" s="34"/>
      <c r="E588" s="3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25">
      <c r="A589" s="1"/>
      <c r="B589" s="33"/>
      <c r="C589" s="34"/>
      <c r="D589" s="34"/>
      <c r="E589" s="3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25">
      <c r="A590" s="1"/>
      <c r="B590" s="33"/>
      <c r="C590" s="34"/>
      <c r="D590" s="34"/>
      <c r="E590" s="3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25">
      <c r="A591" s="1"/>
      <c r="B591" s="33"/>
      <c r="C591" s="34"/>
      <c r="D591" s="34"/>
      <c r="E591" s="3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25">
      <c r="A592" s="1"/>
      <c r="B592" s="33"/>
      <c r="C592" s="34"/>
      <c r="D592" s="34"/>
      <c r="E592" s="3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25">
      <c r="A593" s="1"/>
      <c r="B593" s="33"/>
      <c r="C593" s="34"/>
      <c r="D593" s="34"/>
      <c r="E593" s="3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25">
      <c r="A594" s="1"/>
      <c r="B594" s="33"/>
      <c r="C594" s="34"/>
      <c r="D594" s="34"/>
      <c r="E594" s="3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25">
      <c r="A595" s="1"/>
      <c r="B595" s="33"/>
      <c r="C595" s="34"/>
      <c r="D595" s="34"/>
      <c r="E595" s="3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25">
      <c r="A596" s="1"/>
      <c r="B596" s="33"/>
      <c r="C596" s="34"/>
      <c r="D596" s="34"/>
      <c r="E596" s="3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25">
      <c r="A597" s="1"/>
      <c r="B597" s="33"/>
      <c r="C597" s="34"/>
      <c r="D597" s="34"/>
      <c r="E597" s="3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25">
      <c r="A598" s="1"/>
      <c r="B598" s="33"/>
      <c r="C598" s="34"/>
      <c r="D598" s="34"/>
      <c r="E598" s="3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25">
      <c r="A599" s="1"/>
      <c r="B599" s="33"/>
      <c r="C599" s="34"/>
      <c r="D599" s="34"/>
      <c r="E599" s="3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25">
      <c r="A600" s="1"/>
      <c r="B600" s="33"/>
      <c r="C600" s="34"/>
      <c r="D600" s="34"/>
      <c r="E600" s="3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25">
      <c r="A601" s="1"/>
      <c r="B601" s="33"/>
      <c r="C601" s="34"/>
      <c r="D601" s="34"/>
      <c r="E601" s="3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25">
      <c r="A602" s="1"/>
      <c r="B602" s="33"/>
      <c r="C602" s="34"/>
      <c r="D602" s="34"/>
      <c r="E602" s="3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25">
      <c r="A603" s="1"/>
      <c r="B603" s="33"/>
      <c r="C603" s="34"/>
      <c r="D603" s="34"/>
      <c r="E603" s="3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25">
      <c r="A604" s="1"/>
      <c r="B604" s="33"/>
      <c r="C604" s="34"/>
      <c r="D604" s="34"/>
      <c r="E604" s="3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25">
      <c r="A605" s="1"/>
      <c r="B605" s="33"/>
      <c r="C605" s="34"/>
      <c r="D605" s="34"/>
      <c r="E605" s="3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25">
      <c r="A606" s="1"/>
      <c r="B606" s="33"/>
      <c r="C606" s="34"/>
      <c r="D606" s="34"/>
      <c r="E606" s="3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25">
      <c r="A607" s="1"/>
      <c r="B607" s="33"/>
      <c r="C607" s="34"/>
      <c r="D607" s="34"/>
      <c r="E607" s="3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25">
      <c r="A608" s="1"/>
      <c r="B608" s="33"/>
      <c r="C608" s="34"/>
      <c r="D608" s="34"/>
      <c r="E608" s="3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25">
      <c r="A609" s="1"/>
      <c r="B609" s="33"/>
      <c r="C609" s="34"/>
      <c r="D609" s="34"/>
      <c r="E609" s="3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25">
      <c r="A610" s="1"/>
      <c r="B610" s="33"/>
      <c r="C610" s="34"/>
      <c r="D610" s="34"/>
      <c r="E610" s="3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25">
      <c r="A611" s="1"/>
      <c r="B611" s="33"/>
      <c r="C611" s="34"/>
      <c r="D611" s="34"/>
      <c r="E611" s="3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25">
      <c r="A612" s="1"/>
      <c r="B612" s="33"/>
      <c r="C612" s="34"/>
      <c r="D612" s="34"/>
      <c r="E612" s="3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25">
      <c r="A613" s="1"/>
      <c r="B613" s="33"/>
      <c r="C613" s="34"/>
      <c r="D613" s="34"/>
      <c r="E613" s="3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25">
      <c r="A614" s="1"/>
      <c r="B614" s="33"/>
      <c r="C614" s="34"/>
      <c r="D614" s="34"/>
      <c r="E614" s="3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25">
      <c r="A615" s="1"/>
      <c r="B615" s="33"/>
      <c r="C615" s="34"/>
      <c r="D615" s="34"/>
      <c r="E615" s="3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25">
      <c r="A616" s="1"/>
      <c r="B616" s="33"/>
      <c r="C616" s="34"/>
      <c r="D616" s="34"/>
      <c r="E616" s="3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25">
      <c r="A617" s="1"/>
      <c r="B617" s="33"/>
      <c r="C617" s="34"/>
      <c r="D617" s="34"/>
      <c r="E617" s="3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25">
      <c r="A618" s="1"/>
      <c r="B618" s="33"/>
      <c r="C618" s="34"/>
      <c r="D618" s="34"/>
      <c r="E618" s="3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25">
      <c r="A619" s="1"/>
      <c r="B619" s="33"/>
      <c r="C619" s="34"/>
      <c r="D619" s="34"/>
      <c r="E619" s="3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25">
      <c r="A620" s="1"/>
      <c r="B620" s="33"/>
      <c r="C620" s="34"/>
      <c r="D620" s="34"/>
      <c r="E620" s="3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25">
      <c r="A621" s="1"/>
      <c r="B621" s="33"/>
      <c r="C621" s="34"/>
      <c r="D621" s="34"/>
      <c r="E621" s="3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25">
      <c r="A622" s="1"/>
      <c r="B622" s="33"/>
      <c r="C622" s="34"/>
      <c r="D622" s="34"/>
      <c r="E622" s="3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25">
      <c r="A623" s="1"/>
      <c r="B623" s="33"/>
      <c r="C623" s="34"/>
      <c r="D623" s="34"/>
      <c r="E623" s="3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25">
      <c r="A624" s="1"/>
      <c r="B624" s="33"/>
      <c r="C624" s="34"/>
      <c r="D624" s="34"/>
      <c r="E624" s="3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25">
      <c r="A625" s="1"/>
      <c r="B625" s="33"/>
      <c r="C625" s="34"/>
      <c r="D625" s="34"/>
      <c r="E625" s="3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25">
      <c r="A626" s="1"/>
      <c r="B626" s="33"/>
      <c r="C626" s="34"/>
      <c r="D626" s="34"/>
      <c r="E626" s="3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25">
      <c r="A627" s="1"/>
      <c r="B627" s="33"/>
      <c r="C627" s="34"/>
      <c r="D627" s="34"/>
      <c r="E627" s="3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25">
      <c r="A628" s="1"/>
      <c r="B628" s="33"/>
      <c r="C628" s="34"/>
      <c r="D628" s="34"/>
      <c r="E628" s="3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25">
      <c r="A629" s="1"/>
      <c r="B629" s="33"/>
      <c r="C629" s="34"/>
      <c r="D629" s="34"/>
      <c r="E629" s="3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25">
      <c r="A630" s="1"/>
      <c r="B630" s="33"/>
      <c r="C630" s="34"/>
      <c r="D630" s="34"/>
      <c r="E630" s="3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25">
      <c r="A631" s="1"/>
      <c r="B631" s="33"/>
      <c r="C631" s="34"/>
      <c r="D631" s="34"/>
      <c r="E631" s="3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25">
      <c r="A632" s="1"/>
      <c r="B632" s="33"/>
      <c r="C632" s="34"/>
      <c r="D632" s="34"/>
      <c r="E632" s="3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25">
      <c r="A633" s="1"/>
      <c r="B633" s="33"/>
      <c r="C633" s="34"/>
      <c r="D633" s="34"/>
      <c r="E633" s="3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25">
      <c r="A634" s="1"/>
      <c r="B634" s="33"/>
      <c r="C634" s="34"/>
      <c r="D634" s="34"/>
      <c r="E634" s="3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25">
      <c r="A635" s="1"/>
      <c r="B635" s="33"/>
      <c r="C635" s="34"/>
      <c r="D635" s="34"/>
      <c r="E635" s="3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25">
      <c r="A636" s="1"/>
      <c r="B636" s="33"/>
      <c r="C636" s="34"/>
      <c r="D636" s="34"/>
      <c r="E636" s="3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25">
      <c r="A637" s="1"/>
      <c r="B637" s="33"/>
      <c r="C637" s="34"/>
      <c r="D637" s="34"/>
      <c r="E637" s="3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25">
      <c r="A638" s="1"/>
      <c r="B638" s="33"/>
      <c r="C638" s="34"/>
      <c r="D638" s="34"/>
      <c r="E638" s="3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25">
      <c r="A639" s="1"/>
      <c r="B639" s="33"/>
      <c r="C639" s="34"/>
      <c r="D639" s="34"/>
      <c r="E639" s="3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25">
      <c r="A640" s="1"/>
      <c r="B640" s="33"/>
      <c r="C640" s="34"/>
      <c r="D640" s="34"/>
      <c r="E640" s="3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25">
      <c r="A641" s="1"/>
      <c r="B641" s="33"/>
      <c r="C641" s="34"/>
      <c r="D641" s="34"/>
      <c r="E641" s="3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25">
      <c r="A642" s="1"/>
      <c r="B642" s="33"/>
      <c r="C642" s="34"/>
      <c r="D642" s="34"/>
      <c r="E642" s="3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25">
      <c r="A643" s="1"/>
      <c r="B643" s="33"/>
      <c r="C643" s="34"/>
      <c r="D643" s="34"/>
      <c r="E643" s="3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25">
      <c r="A644" s="1"/>
      <c r="B644" s="33"/>
      <c r="C644" s="34"/>
      <c r="D644" s="34"/>
      <c r="E644" s="3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25">
      <c r="A645" s="1"/>
      <c r="B645" s="33"/>
      <c r="C645" s="34"/>
      <c r="D645" s="34"/>
      <c r="E645" s="3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25">
      <c r="A646" s="1"/>
      <c r="B646" s="33"/>
      <c r="C646" s="34"/>
      <c r="D646" s="34"/>
      <c r="E646" s="3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25">
      <c r="A647" s="1"/>
      <c r="B647" s="33"/>
      <c r="C647" s="34"/>
      <c r="D647" s="34"/>
      <c r="E647" s="3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25">
      <c r="A648" s="1"/>
      <c r="B648" s="33"/>
      <c r="C648" s="34"/>
      <c r="D648" s="34"/>
      <c r="E648" s="3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25">
      <c r="A649" s="1"/>
      <c r="B649" s="33"/>
      <c r="C649" s="34"/>
      <c r="D649" s="34"/>
      <c r="E649" s="3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25">
      <c r="A650" s="1"/>
      <c r="B650" s="33"/>
      <c r="C650" s="34"/>
      <c r="D650" s="34"/>
      <c r="E650" s="3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25">
      <c r="A651" s="1"/>
      <c r="B651" s="33"/>
      <c r="C651" s="34"/>
      <c r="D651" s="34"/>
      <c r="E651" s="3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25">
      <c r="A652" s="1"/>
      <c r="B652" s="33"/>
      <c r="C652" s="34"/>
      <c r="D652" s="34"/>
      <c r="E652" s="3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25">
      <c r="A653" s="1"/>
      <c r="B653" s="33"/>
      <c r="C653" s="34"/>
      <c r="D653" s="34"/>
      <c r="E653" s="3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25">
      <c r="A654" s="1"/>
      <c r="B654" s="33"/>
      <c r="C654" s="34"/>
      <c r="D654" s="34"/>
      <c r="E654" s="3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25">
      <c r="A655" s="1"/>
      <c r="B655" s="33"/>
      <c r="C655" s="34"/>
      <c r="D655" s="34"/>
      <c r="E655" s="3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25">
      <c r="A656" s="1"/>
      <c r="B656" s="33"/>
      <c r="C656" s="34"/>
      <c r="D656" s="34"/>
      <c r="E656" s="3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25">
      <c r="A657" s="1"/>
      <c r="B657" s="33"/>
      <c r="C657" s="34"/>
      <c r="D657" s="34"/>
      <c r="E657" s="3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25">
      <c r="A658" s="1"/>
      <c r="B658" s="33"/>
      <c r="C658" s="34"/>
      <c r="D658" s="34"/>
      <c r="E658" s="3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25">
      <c r="A659" s="1"/>
      <c r="B659" s="33"/>
      <c r="C659" s="34"/>
      <c r="D659" s="34"/>
      <c r="E659" s="3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25">
      <c r="A660" s="1"/>
      <c r="B660" s="33"/>
      <c r="C660" s="34"/>
      <c r="D660" s="34"/>
      <c r="E660" s="3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25">
      <c r="A661" s="1"/>
      <c r="B661" s="33"/>
      <c r="C661" s="34"/>
      <c r="D661" s="34"/>
      <c r="E661" s="3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25">
      <c r="A662" s="1"/>
      <c r="B662" s="33"/>
      <c r="C662" s="34"/>
      <c r="D662" s="34"/>
      <c r="E662" s="3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25">
      <c r="A663" s="1"/>
      <c r="B663" s="33"/>
      <c r="C663" s="34"/>
      <c r="D663" s="34"/>
      <c r="E663" s="3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25">
      <c r="A664" s="1"/>
      <c r="B664" s="33"/>
      <c r="C664" s="34"/>
      <c r="D664" s="34"/>
      <c r="E664" s="3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25">
      <c r="A665" s="1"/>
      <c r="B665" s="33"/>
      <c r="C665" s="34"/>
      <c r="D665" s="34"/>
      <c r="E665" s="3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25">
      <c r="A666" s="1"/>
      <c r="B666" s="33"/>
      <c r="C666" s="34"/>
      <c r="D666" s="34"/>
      <c r="E666" s="3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25">
      <c r="A667" s="1"/>
      <c r="B667" s="33"/>
      <c r="C667" s="34"/>
      <c r="D667" s="34"/>
      <c r="E667" s="3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25">
      <c r="A668" s="1"/>
      <c r="B668" s="33"/>
      <c r="C668" s="34"/>
      <c r="D668" s="34"/>
      <c r="E668" s="3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25">
      <c r="A669" s="1"/>
      <c r="B669" s="33"/>
      <c r="C669" s="34"/>
      <c r="D669" s="34"/>
      <c r="E669" s="3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25">
      <c r="A670" s="1"/>
      <c r="B670" s="33"/>
      <c r="C670" s="34"/>
      <c r="D670" s="34"/>
      <c r="E670" s="3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25">
      <c r="A671" s="1"/>
      <c r="B671" s="33"/>
      <c r="C671" s="34"/>
      <c r="D671" s="34"/>
      <c r="E671" s="3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25">
      <c r="A672" s="1"/>
      <c r="B672" s="33"/>
      <c r="C672" s="34"/>
      <c r="D672" s="34"/>
      <c r="E672" s="3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25">
      <c r="A673" s="1"/>
      <c r="B673" s="33"/>
      <c r="C673" s="34"/>
      <c r="D673" s="34"/>
      <c r="E673" s="3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25">
      <c r="A674" s="1"/>
      <c r="B674" s="33"/>
      <c r="C674" s="34"/>
      <c r="D674" s="34"/>
      <c r="E674" s="3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25">
      <c r="A675" s="1"/>
      <c r="B675" s="33"/>
      <c r="C675" s="34"/>
      <c r="D675" s="34"/>
      <c r="E675" s="3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25">
      <c r="A676" s="1"/>
      <c r="B676" s="33"/>
      <c r="C676" s="34"/>
      <c r="D676" s="34"/>
      <c r="E676" s="3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25">
      <c r="A677" s="1"/>
      <c r="B677" s="33"/>
      <c r="C677" s="34"/>
      <c r="D677" s="34"/>
      <c r="E677" s="3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25">
      <c r="A678" s="1"/>
      <c r="B678" s="33"/>
      <c r="C678" s="34"/>
      <c r="D678" s="34"/>
      <c r="E678" s="3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25">
      <c r="A679" s="1"/>
      <c r="B679" s="33"/>
      <c r="C679" s="34"/>
      <c r="D679" s="34"/>
      <c r="E679" s="3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25">
      <c r="A680" s="1"/>
      <c r="B680" s="33"/>
      <c r="C680" s="34"/>
      <c r="D680" s="34"/>
      <c r="E680" s="3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25">
      <c r="A681" s="1"/>
      <c r="B681" s="33"/>
      <c r="C681" s="34"/>
      <c r="D681" s="34"/>
      <c r="E681" s="3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25">
      <c r="A682" s="1"/>
      <c r="B682" s="33"/>
      <c r="C682" s="34"/>
      <c r="D682" s="34"/>
      <c r="E682" s="3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25">
      <c r="A683" s="1"/>
      <c r="B683" s="33"/>
      <c r="C683" s="34"/>
      <c r="D683" s="34"/>
      <c r="E683" s="3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25">
      <c r="A684" s="1"/>
      <c r="B684" s="33"/>
      <c r="C684" s="34"/>
      <c r="D684" s="34"/>
      <c r="E684" s="3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25">
      <c r="A685" s="1"/>
      <c r="B685" s="33"/>
      <c r="C685" s="34"/>
      <c r="D685" s="34"/>
      <c r="E685" s="3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25">
      <c r="A686" s="1"/>
      <c r="B686" s="33"/>
      <c r="C686" s="34"/>
      <c r="D686" s="34"/>
      <c r="E686" s="3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25">
      <c r="A687" s="1"/>
      <c r="B687" s="33"/>
      <c r="C687" s="34"/>
      <c r="D687" s="34"/>
      <c r="E687" s="3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25">
      <c r="A688" s="1"/>
      <c r="B688" s="33"/>
      <c r="C688" s="34"/>
      <c r="D688" s="34"/>
      <c r="E688" s="3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25">
      <c r="A689" s="1"/>
      <c r="B689" s="33"/>
      <c r="C689" s="34"/>
      <c r="D689" s="34"/>
      <c r="E689" s="3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25">
      <c r="A690" s="1"/>
      <c r="B690" s="33"/>
      <c r="C690" s="34"/>
      <c r="D690" s="34"/>
      <c r="E690" s="3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25">
      <c r="A691" s="1"/>
      <c r="B691" s="33"/>
      <c r="C691" s="34"/>
      <c r="D691" s="34"/>
      <c r="E691" s="3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25">
      <c r="A692" s="1"/>
      <c r="B692" s="33"/>
      <c r="C692" s="34"/>
      <c r="D692" s="34"/>
      <c r="E692" s="3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25">
      <c r="A693" s="1"/>
      <c r="B693" s="33"/>
      <c r="C693" s="34"/>
      <c r="D693" s="34"/>
      <c r="E693" s="3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25">
      <c r="A694" s="1"/>
      <c r="B694" s="33"/>
      <c r="C694" s="34"/>
      <c r="D694" s="34"/>
      <c r="E694" s="3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25">
      <c r="A695" s="1"/>
      <c r="B695" s="33"/>
      <c r="C695" s="34"/>
      <c r="D695" s="34"/>
      <c r="E695" s="3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25">
      <c r="A696" s="1"/>
      <c r="B696" s="33"/>
      <c r="C696" s="34"/>
      <c r="D696" s="34"/>
      <c r="E696" s="3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25">
      <c r="A697" s="1"/>
      <c r="B697" s="33"/>
      <c r="C697" s="34"/>
      <c r="D697" s="34"/>
      <c r="E697" s="3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25">
      <c r="A698" s="1"/>
      <c r="B698" s="33"/>
      <c r="C698" s="34"/>
      <c r="D698" s="34"/>
      <c r="E698" s="3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25">
      <c r="A699" s="1"/>
      <c r="B699" s="33"/>
      <c r="C699" s="34"/>
      <c r="D699" s="34"/>
      <c r="E699" s="3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25">
      <c r="A700" s="1"/>
      <c r="B700" s="33"/>
      <c r="C700" s="34"/>
      <c r="D700" s="34"/>
      <c r="E700" s="3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25">
      <c r="A701" s="1"/>
      <c r="B701" s="33"/>
      <c r="C701" s="34"/>
      <c r="D701" s="34"/>
      <c r="E701" s="3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25">
      <c r="A702" s="1"/>
      <c r="B702" s="33"/>
      <c r="C702" s="34"/>
      <c r="D702" s="34"/>
      <c r="E702" s="3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25">
      <c r="A703" s="1"/>
      <c r="B703" s="33"/>
      <c r="C703" s="34"/>
      <c r="D703" s="34"/>
      <c r="E703" s="3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25">
      <c r="A704" s="1"/>
      <c r="B704" s="33"/>
      <c r="C704" s="34"/>
      <c r="D704" s="34"/>
      <c r="E704" s="3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25">
      <c r="A705" s="1"/>
      <c r="B705" s="33"/>
      <c r="C705" s="34"/>
      <c r="D705" s="34"/>
      <c r="E705" s="3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25">
      <c r="A706" s="1"/>
      <c r="B706" s="33"/>
      <c r="C706" s="34"/>
      <c r="D706" s="34"/>
      <c r="E706" s="3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25">
      <c r="A707" s="1"/>
      <c r="B707" s="33"/>
      <c r="C707" s="34"/>
      <c r="D707" s="34"/>
      <c r="E707" s="3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25">
      <c r="A708" s="1"/>
      <c r="B708" s="33"/>
      <c r="C708" s="34"/>
      <c r="D708" s="34"/>
      <c r="E708" s="3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25">
      <c r="A709" s="1"/>
      <c r="B709" s="33"/>
      <c r="C709" s="34"/>
      <c r="D709" s="34"/>
      <c r="E709" s="3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25">
      <c r="A710" s="1"/>
      <c r="B710" s="33"/>
      <c r="C710" s="34"/>
      <c r="D710" s="34"/>
      <c r="E710" s="3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25">
      <c r="A711" s="1"/>
      <c r="B711" s="33"/>
      <c r="C711" s="34"/>
      <c r="D711" s="34"/>
      <c r="E711" s="3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25">
      <c r="A712" s="1"/>
      <c r="B712" s="33"/>
      <c r="C712" s="34"/>
      <c r="D712" s="34"/>
      <c r="E712" s="3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25">
      <c r="A713" s="1"/>
      <c r="B713" s="33"/>
      <c r="C713" s="34"/>
      <c r="D713" s="34"/>
      <c r="E713" s="3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25">
      <c r="A714" s="1"/>
      <c r="B714" s="33"/>
      <c r="C714" s="34"/>
      <c r="D714" s="34"/>
      <c r="E714" s="3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25">
      <c r="A715" s="1"/>
      <c r="B715" s="33"/>
      <c r="C715" s="34"/>
      <c r="D715" s="34"/>
      <c r="E715" s="3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25">
      <c r="A716" s="1"/>
      <c r="B716" s="33"/>
      <c r="C716" s="34"/>
      <c r="D716" s="34"/>
      <c r="E716" s="3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25">
      <c r="A717" s="1"/>
      <c r="B717" s="33"/>
      <c r="C717" s="34"/>
      <c r="D717" s="34"/>
      <c r="E717" s="3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25">
      <c r="A718" s="1"/>
      <c r="B718" s="33"/>
      <c r="C718" s="34"/>
      <c r="D718" s="34"/>
      <c r="E718" s="3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25">
      <c r="A719" s="1"/>
      <c r="B719" s="33"/>
      <c r="C719" s="34"/>
      <c r="D719" s="34"/>
      <c r="E719" s="3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25">
      <c r="A720" s="1"/>
      <c r="B720" s="33"/>
      <c r="C720" s="34"/>
      <c r="D720" s="34"/>
      <c r="E720" s="3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25">
      <c r="A721" s="1"/>
      <c r="B721" s="33"/>
      <c r="C721" s="34"/>
      <c r="D721" s="34"/>
      <c r="E721" s="3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25">
      <c r="A722" s="1"/>
      <c r="B722" s="33"/>
      <c r="C722" s="34"/>
      <c r="D722" s="34"/>
      <c r="E722" s="3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25">
      <c r="A723" s="1"/>
      <c r="B723" s="33"/>
      <c r="C723" s="34"/>
      <c r="D723" s="34"/>
      <c r="E723" s="3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25">
      <c r="A724" s="1"/>
      <c r="B724" s="33"/>
      <c r="C724" s="34"/>
      <c r="D724" s="34"/>
      <c r="E724" s="3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25">
      <c r="A725" s="1"/>
      <c r="B725" s="33"/>
      <c r="C725" s="34"/>
      <c r="D725" s="34"/>
      <c r="E725" s="3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25">
      <c r="A726" s="1"/>
      <c r="B726" s="33"/>
      <c r="C726" s="34"/>
      <c r="D726" s="34"/>
      <c r="E726" s="3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25">
      <c r="A727" s="1"/>
      <c r="B727" s="33"/>
      <c r="C727" s="34"/>
      <c r="D727" s="34"/>
      <c r="E727" s="3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25">
      <c r="A728" s="1"/>
      <c r="B728" s="33"/>
      <c r="C728" s="34"/>
      <c r="D728" s="34"/>
      <c r="E728" s="3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25">
      <c r="A729" s="1"/>
      <c r="B729" s="33"/>
      <c r="C729" s="34"/>
      <c r="D729" s="34"/>
      <c r="E729" s="3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25">
      <c r="A730" s="1"/>
      <c r="B730" s="33"/>
      <c r="C730" s="34"/>
      <c r="D730" s="34"/>
      <c r="E730" s="3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25">
      <c r="A731" s="1"/>
      <c r="B731" s="33"/>
      <c r="C731" s="34"/>
      <c r="D731" s="34"/>
      <c r="E731" s="3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25">
      <c r="A732" s="1"/>
      <c r="B732" s="33"/>
      <c r="C732" s="34"/>
      <c r="D732" s="34"/>
      <c r="E732" s="3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25">
      <c r="A733" s="1"/>
      <c r="B733" s="33"/>
      <c r="C733" s="34"/>
      <c r="D733" s="34"/>
      <c r="E733" s="3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25">
      <c r="A734" s="1"/>
      <c r="B734" s="33"/>
      <c r="C734" s="34"/>
      <c r="D734" s="34"/>
      <c r="E734" s="3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25">
      <c r="A735" s="1"/>
      <c r="B735" s="33"/>
      <c r="C735" s="34"/>
      <c r="D735" s="34"/>
      <c r="E735" s="3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25">
      <c r="A736" s="1"/>
      <c r="B736" s="33"/>
      <c r="C736" s="34"/>
      <c r="D736" s="34"/>
      <c r="E736" s="3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25">
      <c r="A737" s="1"/>
      <c r="B737" s="33"/>
      <c r="C737" s="34"/>
      <c r="D737" s="34"/>
      <c r="E737" s="3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25">
      <c r="A738" s="1"/>
      <c r="B738" s="33"/>
      <c r="C738" s="34"/>
      <c r="D738" s="34"/>
      <c r="E738" s="3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25">
      <c r="A739" s="1"/>
      <c r="B739" s="33"/>
      <c r="C739" s="34"/>
      <c r="D739" s="34"/>
      <c r="E739" s="3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25">
      <c r="A740" s="1"/>
      <c r="B740" s="33"/>
      <c r="C740" s="34"/>
      <c r="D740" s="34"/>
      <c r="E740" s="3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25">
      <c r="A741" s="1"/>
      <c r="B741" s="33"/>
      <c r="C741" s="34"/>
      <c r="D741" s="34"/>
      <c r="E741" s="3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25">
      <c r="A742" s="1"/>
      <c r="B742" s="33"/>
      <c r="C742" s="34"/>
      <c r="D742" s="34"/>
      <c r="E742" s="3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25">
      <c r="A743" s="1"/>
      <c r="B743" s="33"/>
      <c r="C743" s="34"/>
      <c r="D743" s="34"/>
      <c r="E743" s="3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25">
      <c r="A744" s="1"/>
      <c r="B744" s="33"/>
      <c r="C744" s="34"/>
      <c r="D744" s="34"/>
      <c r="E744" s="3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25">
      <c r="A745" s="1"/>
      <c r="B745" s="33"/>
      <c r="C745" s="34"/>
      <c r="D745" s="34"/>
      <c r="E745" s="3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25">
      <c r="A746" s="1"/>
      <c r="B746" s="33"/>
      <c r="C746" s="34"/>
      <c r="D746" s="34"/>
      <c r="E746" s="3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25">
      <c r="A747" s="1"/>
      <c r="B747" s="33"/>
      <c r="C747" s="34"/>
      <c r="D747" s="34"/>
      <c r="E747" s="3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25">
      <c r="A748" s="1"/>
      <c r="B748" s="33"/>
      <c r="C748" s="34"/>
      <c r="D748" s="34"/>
      <c r="E748" s="3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25">
      <c r="A749" s="1"/>
      <c r="B749" s="33"/>
      <c r="C749" s="34"/>
      <c r="D749" s="34"/>
      <c r="E749" s="3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25">
      <c r="A750" s="1"/>
      <c r="B750" s="33"/>
      <c r="C750" s="34"/>
      <c r="D750" s="34"/>
      <c r="E750" s="3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25">
      <c r="A751" s="1"/>
      <c r="B751" s="33"/>
      <c r="C751" s="34"/>
      <c r="D751" s="34"/>
      <c r="E751" s="3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25">
      <c r="A752" s="1"/>
      <c r="B752" s="33"/>
      <c r="C752" s="34"/>
      <c r="D752" s="34"/>
      <c r="E752" s="3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25">
      <c r="A753" s="1"/>
      <c r="B753" s="33"/>
      <c r="C753" s="34"/>
      <c r="D753" s="34"/>
      <c r="E753" s="3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25">
      <c r="A754" s="1"/>
      <c r="B754" s="33"/>
      <c r="C754" s="34"/>
      <c r="D754" s="34"/>
      <c r="E754" s="3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25">
      <c r="A755" s="1"/>
      <c r="B755" s="33"/>
      <c r="C755" s="34"/>
      <c r="D755" s="34"/>
      <c r="E755" s="3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25">
      <c r="A756" s="1"/>
      <c r="B756" s="33"/>
      <c r="C756" s="34"/>
      <c r="D756" s="34"/>
      <c r="E756" s="3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25">
      <c r="A757" s="1"/>
      <c r="B757" s="33"/>
      <c r="C757" s="34"/>
      <c r="D757" s="34"/>
      <c r="E757" s="3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25">
      <c r="A758" s="1"/>
      <c r="B758" s="33"/>
      <c r="C758" s="34"/>
      <c r="D758" s="34"/>
      <c r="E758" s="3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25">
      <c r="A759" s="1"/>
      <c r="B759" s="33"/>
      <c r="C759" s="34"/>
      <c r="D759" s="34"/>
      <c r="E759" s="3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25">
      <c r="A760" s="1"/>
      <c r="B760" s="33"/>
      <c r="C760" s="34"/>
      <c r="D760" s="34"/>
      <c r="E760" s="3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25">
      <c r="A761" s="1"/>
      <c r="B761" s="33"/>
      <c r="C761" s="34"/>
      <c r="D761" s="34"/>
      <c r="E761" s="3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25">
      <c r="A762" s="1"/>
      <c r="B762" s="33"/>
      <c r="C762" s="34"/>
      <c r="D762" s="34"/>
      <c r="E762" s="3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25">
      <c r="A763" s="1"/>
      <c r="B763" s="33"/>
      <c r="C763" s="34"/>
      <c r="D763" s="34"/>
      <c r="E763" s="3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25">
      <c r="A764" s="1"/>
      <c r="B764" s="33"/>
      <c r="C764" s="34"/>
      <c r="D764" s="34"/>
      <c r="E764" s="3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25">
      <c r="A765" s="1"/>
      <c r="B765" s="33"/>
      <c r="C765" s="34"/>
      <c r="D765" s="34"/>
      <c r="E765" s="3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25">
      <c r="A766" s="1"/>
      <c r="B766" s="33"/>
      <c r="C766" s="34"/>
      <c r="D766" s="34"/>
      <c r="E766" s="3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25">
      <c r="A767" s="1"/>
      <c r="B767" s="33"/>
      <c r="C767" s="34"/>
      <c r="D767" s="34"/>
      <c r="E767" s="3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25">
      <c r="A768" s="1"/>
      <c r="B768" s="33"/>
      <c r="C768" s="34"/>
      <c r="D768" s="34"/>
      <c r="E768" s="3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25">
      <c r="A769" s="1"/>
      <c r="B769" s="33"/>
      <c r="C769" s="34"/>
      <c r="D769" s="34"/>
      <c r="E769" s="3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25">
      <c r="A770" s="1"/>
      <c r="B770" s="33"/>
      <c r="C770" s="34"/>
      <c r="D770" s="34"/>
      <c r="E770" s="3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25">
      <c r="A771" s="1"/>
      <c r="B771" s="33"/>
      <c r="C771" s="34"/>
      <c r="D771" s="34"/>
      <c r="E771" s="3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25">
      <c r="A772" s="1"/>
      <c r="B772" s="33"/>
      <c r="C772" s="34"/>
      <c r="D772" s="34"/>
      <c r="E772" s="3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25">
      <c r="A773" s="1"/>
      <c r="B773" s="33"/>
      <c r="C773" s="34"/>
      <c r="D773" s="34"/>
      <c r="E773" s="3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25">
      <c r="A774" s="1"/>
      <c r="B774" s="33"/>
      <c r="C774" s="34"/>
      <c r="D774" s="34"/>
      <c r="E774" s="3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25">
      <c r="A775" s="1"/>
      <c r="B775" s="33"/>
      <c r="C775" s="34"/>
      <c r="D775" s="34"/>
      <c r="E775" s="3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25">
      <c r="A776" s="1"/>
      <c r="B776" s="33"/>
      <c r="C776" s="34"/>
      <c r="D776" s="34"/>
      <c r="E776" s="3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25">
      <c r="A777" s="1"/>
      <c r="B777" s="33"/>
      <c r="C777" s="34"/>
      <c r="D777" s="34"/>
      <c r="E777" s="3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25">
      <c r="A778" s="1"/>
      <c r="B778" s="33"/>
      <c r="C778" s="34"/>
      <c r="D778" s="34"/>
      <c r="E778" s="3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25">
      <c r="A779" s="1"/>
      <c r="B779" s="33"/>
      <c r="C779" s="34"/>
      <c r="D779" s="34"/>
      <c r="E779" s="3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25">
      <c r="A780" s="1"/>
      <c r="B780" s="33"/>
      <c r="C780" s="34"/>
      <c r="D780" s="34"/>
      <c r="E780" s="3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25">
      <c r="A781" s="1"/>
      <c r="B781" s="33"/>
      <c r="C781" s="34"/>
      <c r="D781" s="34"/>
      <c r="E781" s="3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25">
      <c r="A782" s="1"/>
      <c r="B782" s="33"/>
      <c r="C782" s="34"/>
      <c r="D782" s="34"/>
      <c r="E782" s="3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25">
      <c r="A783" s="1"/>
      <c r="B783" s="33"/>
      <c r="C783" s="34"/>
      <c r="D783" s="34"/>
      <c r="E783" s="3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25">
      <c r="A784" s="1"/>
      <c r="B784" s="33"/>
      <c r="C784" s="34"/>
      <c r="D784" s="34"/>
      <c r="E784" s="3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25">
      <c r="A785" s="1"/>
      <c r="B785" s="33"/>
      <c r="C785" s="34"/>
      <c r="D785" s="34"/>
      <c r="E785" s="3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25">
      <c r="A786" s="1"/>
      <c r="B786" s="33"/>
      <c r="C786" s="34"/>
      <c r="D786" s="34"/>
      <c r="E786" s="3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25">
      <c r="A787" s="1"/>
      <c r="B787" s="33"/>
      <c r="C787" s="34"/>
      <c r="D787" s="34"/>
      <c r="E787" s="3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25">
      <c r="A788" s="1"/>
      <c r="B788" s="33"/>
      <c r="C788" s="34"/>
      <c r="D788" s="34"/>
      <c r="E788" s="3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25">
      <c r="A789" s="1"/>
      <c r="B789" s="33"/>
      <c r="C789" s="34"/>
      <c r="D789" s="34"/>
      <c r="E789" s="3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25">
      <c r="A790" s="1"/>
      <c r="B790" s="33"/>
      <c r="C790" s="34"/>
      <c r="D790" s="34"/>
      <c r="E790" s="3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25">
      <c r="A791" s="1"/>
      <c r="B791" s="33"/>
      <c r="C791" s="34"/>
      <c r="D791" s="34"/>
      <c r="E791" s="3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25">
      <c r="A792" s="1"/>
      <c r="B792" s="33"/>
      <c r="C792" s="34"/>
      <c r="D792" s="34"/>
      <c r="E792" s="3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25">
      <c r="A793" s="1"/>
      <c r="B793" s="33"/>
      <c r="C793" s="34"/>
      <c r="D793" s="34"/>
      <c r="E793" s="3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25">
      <c r="A794" s="1"/>
      <c r="B794" s="33"/>
      <c r="C794" s="34"/>
      <c r="D794" s="34"/>
      <c r="E794" s="3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25">
      <c r="A795" s="1"/>
      <c r="B795" s="33"/>
      <c r="C795" s="34"/>
      <c r="D795" s="34"/>
      <c r="E795" s="3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25">
      <c r="A796" s="1"/>
      <c r="B796" s="33"/>
      <c r="C796" s="34"/>
      <c r="D796" s="34"/>
      <c r="E796" s="3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25">
      <c r="A797" s="1"/>
      <c r="B797" s="33"/>
      <c r="C797" s="34"/>
      <c r="D797" s="34"/>
      <c r="E797" s="3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25">
      <c r="A798" s="1"/>
      <c r="B798" s="33"/>
      <c r="C798" s="34"/>
      <c r="D798" s="34"/>
      <c r="E798" s="3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25">
      <c r="A799" s="1"/>
      <c r="B799" s="33"/>
      <c r="C799" s="34"/>
      <c r="D799" s="34"/>
      <c r="E799" s="3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25">
      <c r="A800" s="1"/>
      <c r="B800" s="33"/>
      <c r="C800" s="34"/>
      <c r="D800" s="34"/>
      <c r="E800" s="3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25">
      <c r="A801" s="1"/>
      <c r="B801" s="33"/>
      <c r="C801" s="34"/>
      <c r="D801" s="34"/>
      <c r="E801" s="3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25">
      <c r="A802" s="1"/>
      <c r="B802" s="33"/>
      <c r="C802" s="34"/>
      <c r="D802" s="34"/>
      <c r="E802" s="3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25">
      <c r="A803" s="1"/>
      <c r="B803" s="33"/>
      <c r="C803" s="34"/>
      <c r="D803" s="34"/>
      <c r="E803" s="3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25">
      <c r="A804" s="1"/>
      <c r="B804" s="33"/>
      <c r="C804" s="34"/>
      <c r="D804" s="34"/>
      <c r="E804" s="3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25">
      <c r="A805" s="1"/>
      <c r="B805" s="33"/>
      <c r="C805" s="34"/>
      <c r="D805" s="34"/>
      <c r="E805" s="3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25">
      <c r="A806" s="1"/>
      <c r="B806" s="33"/>
      <c r="C806" s="34"/>
      <c r="D806" s="34"/>
      <c r="E806" s="3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25">
      <c r="A807" s="1"/>
      <c r="B807" s="33"/>
      <c r="C807" s="34"/>
      <c r="D807" s="34"/>
      <c r="E807" s="3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25">
      <c r="A808" s="1"/>
      <c r="B808" s="33"/>
      <c r="C808" s="34"/>
      <c r="D808" s="34"/>
      <c r="E808" s="3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25">
      <c r="A809" s="1"/>
      <c r="B809" s="33"/>
      <c r="C809" s="34"/>
      <c r="D809" s="34"/>
      <c r="E809" s="3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25">
      <c r="A810" s="1"/>
      <c r="B810" s="33"/>
      <c r="C810" s="34"/>
      <c r="D810" s="34"/>
      <c r="E810" s="3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25">
      <c r="A811" s="1"/>
      <c r="B811" s="33"/>
      <c r="C811" s="34"/>
      <c r="D811" s="34"/>
      <c r="E811" s="3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25">
      <c r="A812" s="1"/>
      <c r="B812" s="33"/>
      <c r="C812" s="34"/>
      <c r="D812" s="34"/>
      <c r="E812" s="3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25">
      <c r="A813" s="1"/>
      <c r="B813" s="33"/>
      <c r="C813" s="34"/>
      <c r="D813" s="34"/>
      <c r="E813" s="3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25">
      <c r="A814" s="1"/>
      <c r="B814" s="33"/>
      <c r="C814" s="34"/>
      <c r="D814" s="34"/>
      <c r="E814" s="3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25">
      <c r="A815" s="1"/>
      <c r="B815" s="33"/>
      <c r="C815" s="34"/>
      <c r="D815" s="34"/>
      <c r="E815" s="3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25">
      <c r="A816" s="1"/>
      <c r="B816" s="33"/>
      <c r="C816" s="34"/>
      <c r="D816" s="34"/>
      <c r="E816" s="3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25">
      <c r="A817" s="1"/>
      <c r="B817" s="33"/>
      <c r="C817" s="34"/>
      <c r="D817" s="34"/>
      <c r="E817" s="3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25">
      <c r="A818" s="1"/>
      <c r="B818" s="33"/>
      <c r="C818" s="34"/>
      <c r="D818" s="34"/>
      <c r="E818" s="3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25">
      <c r="A819" s="1"/>
      <c r="B819" s="33"/>
      <c r="C819" s="34"/>
      <c r="D819" s="34"/>
      <c r="E819" s="3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25">
      <c r="A820" s="1"/>
      <c r="B820" s="33"/>
      <c r="C820" s="34"/>
      <c r="D820" s="34"/>
      <c r="E820" s="3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25">
      <c r="A821" s="1"/>
      <c r="B821" s="33"/>
      <c r="C821" s="34"/>
      <c r="D821" s="34"/>
      <c r="E821" s="3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25">
      <c r="A822" s="1"/>
      <c r="B822" s="33"/>
      <c r="C822" s="34"/>
      <c r="D822" s="34"/>
      <c r="E822" s="3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25">
      <c r="A823" s="1"/>
      <c r="B823" s="33"/>
      <c r="C823" s="34"/>
      <c r="D823" s="34"/>
      <c r="E823" s="3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25">
      <c r="A824" s="1"/>
      <c r="B824" s="33"/>
      <c r="C824" s="34"/>
      <c r="D824" s="34"/>
      <c r="E824" s="3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25">
      <c r="A825" s="1"/>
      <c r="B825" s="33"/>
      <c r="C825" s="34"/>
      <c r="D825" s="34"/>
      <c r="E825" s="3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25">
      <c r="A826" s="1"/>
      <c r="B826" s="33"/>
      <c r="C826" s="34"/>
      <c r="D826" s="34"/>
      <c r="E826" s="3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25">
      <c r="A827" s="1"/>
      <c r="B827" s="33"/>
      <c r="C827" s="34"/>
      <c r="D827" s="34"/>
      <c r="E827" s="3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25">
      <c r="A828" s="1"/>
      <c r="B828" s="33"/>
      <c r="C828" s="34"/>
      <c r="D828" s="34"/>
      <c r="E828" s="3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25">
      <c r="A829" s="1"/>
      <c r="B829" s="33"/>
      <c r="C829" s="34"/>
      <c r="D829" s="34"/>
      <c r="E829" s="3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25">
      <c r="A830" s="1"/>
      <c r="B830" s="33"/>
      <c r="C830" s="34"/>
      <c r="D830" s="34"/>
      <c r="E830" s="3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25">
      <c r="A831" s="1"/>
      <c r="B831" s="33"/>
      <c r="C831" s="34"/>
      <c r="D831" s="34"/>
      <c r="E831" s="3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25">
      <c r="A832" s="1"/>
      <c r="B832" s="33"/>
      <c r="C832" s="34"/>
      <c r="D832" s="34"/>
      <c r="E832" s="3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25">
      <c r="A833" s="1"/>
      <c r="B833" s="33"/>
      <c r="C833" s="34"/>
      <c r="D833" s="34"/>
      <c r="E833" s="3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25">
      <c r="A834" s="1"/>
      <c r="B834" s="33"/>
      <c r="C834" s="34"/>
      <c r="D834" s="34"/>
      <c r="E834" s="3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25">
      <c r="A835" s="1"/>
      <c r="B835" s="33"/>
      <c r="C835" s="34"/>
      <c r="D835" s="34"/>
      <c r="E835" s="3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25">
      <c r="A836" s="1"/>
      <c r="B836" s="33"/>
      <c r="C836" s="34"/>
      <c r="D836" s="34"/>
      <c r="E836" s="3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25">
      <c r="A837" s="1"/>
      <c r="B837" s="33"/>
      <c r="C837" s="34"/>
      <c r="D837" s="34"/>
      <c r="E837" s="3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25">
      <c r="A838" s="1"/>
      <c r="B838" s="33"/>
      <c r="C838" s="34"/>
      <c r="D838" s="34"/>
      <c r="E838" s="3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25">
      <c r="A839" s="1"/>
      <c r="B839" s="33"/>
      <c r="C839" s="34"/>
      <c r="D839" s="34"/>
      <c r="E839" s="3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25">
      <c r="A840" s="1"/>
      <c r="B840" s="33"/>
      <c r="C840" s="34"/>
      <c r="D840" s="34"/>
      <c r="E840" s="3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25">
      <c r="A841" s="1"/>
      <c r="B841" s="33"/>
      <c r="C841" s="34"/>
      <c r="D841" s="34"/>
      <c r="E841" s="3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25">
      <c r="A842" s="1"/>
      <c r="B842" s="33"/>
      <c r="C842" s="34"/>
      <c r="D842" s="34"/>
      <c r="E842" s="3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25">
      <c r="A843" s="1"/>
      <c r="B843" s="33"/>
      <c r="C843" s="34"/>
      <c r="D843" s="34"/>
      <c r="E843" s="3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25">
      <c r="A844" s="1"/>
      <c r="B844" s="33"/>
      <c r="C844" s="34"/>
      <c r="D844" s="34"/>
      <c r="E844" s="3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25">
      <c r="A845" s="1"/>
      <c r="B845" s="33"/>
      <c r="C845" s="34"/>
      <c r="D845" s="34"/>
      <c r="E845" s="3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25">
      <c r="A846" s="1"/>
      <c r="B846" s="33"/>
      <c r="C846" s="34"/>
      <c r="D846" s="34"/>
      <c r="E846" s="3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25">
      <c r="A847" s="1"/>
      <c r="B847" s="33"/>
      <c r="C847" s="34"/>
      <c r="D847" s="34"/>
      <c r="E847" s="3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25">
      <c r="A848" s="1"/>
      <c r="B848" s="33"/>
      <c r="C848" s="34"/>
      <c r="D848" s="34"/>
      <c r="E848" s="3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25">
      <c r="A849" s="1"/>
      <c r="B849" s="33"/>
      <c r="C849" s="34"/>
      <c r="D849" s="34"/>
      <c r="E849" s="3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25">
      <c r="A850" s="1"/>
      <c r="B850" s="33"/>
      <c r="C850" s="34"/>
      <c r="D850" s="34"/>
      <c r="E850" s="3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25">
      <c r="A851" s="1"/>
      <c r="B851" s="33"/>
      <c r="C851" s="34"/>
      <c r="D851" s="34"/>
      <c r="E851" s="3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25">
      <c r="A852" s="1"/>
      <c r="B852" s="33"/>
      <c r="C852" s="34"/>
      <c r="D852" s="34"/>
      <c r="E852" s="3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25">
      <c r="A853" s="1"/>
      <c r="B853" s="33"/>
      <c r="C853" s="34"/>
      <c r="D853" s="34"/>
      <c r="E853" s="3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25">
      <c r="A854" s="1"/>
      <c r="B854" s="33"/>
      <c r="C854" s="34"/>
      <c r="D854" s="34"/>
      <c r="E854" s="3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25">
      <c r="A855" s="1"/>
      <c r="B855" s="33"/>
      <c r="C855" s="34"/>
      <c r="D855" s="34"/>
      <c r="E855" s="3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25">
      <c r="A856" s="1"/>
      <c r="B856" s="33"/>
      <c r="C856" s="34"/>
      <c r="D856" s="34"/>
      <c r="E856" s="3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25">
      <c r="A857" s="1"/>
      <c r="B857" s="33"/>
      <c r="C857" s="34"/>
      <c r="D857" s="34"/>
      <c r="E857" s="3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25">
      <c r="A858" s="1"/>
      <c r="B858" s="33"/>
      <c r="C858" s="34"/>
      <c r="D858" s="34"/>
      <c r="E858" s="3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25">
      <c r="A859" s="1"/>
      <c r="B859" s="33"/>
      <c r="C859" s="34"/>
      <c r="D859" s="34"/>
      <c r="E859" s="3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25">
      <c r="A860" s="1"/>
      <c r="B860" s="33"/>
      <c r="C860" s="34"/>
      <c r="D860" s="34"/>
      <c r="E860" s="3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25">
      <c r="A861" s="1"/>
      <c r="B861" s="33"/>
      <c r="C861" s="34"/>
      <c r="D861" s="34"/>
      <c r="E861" s="3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25">
      <c r="A862" s="1"/>
      <c r="B862" s="33"/>
      <c r="C862" s="34"/>
      <c r="D862" s="34"/>
      <c r="E862" s="3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25">
      <c r="A863" s="1"/>
      <c r="B863" s="33"/>
      <c r="C863" s="34"/>
      <c r="D863" s="34"/>
      <c r="E863" s="3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25">
      <c r="A864" s="1"/>
      <c r="B864" s="33"/>
      <c r="C864" s="34"/>
      <c r="D864" s="34"/>
      <c r="E864" s="3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25">
      <c r="A865" s="1"/>
      <c r="B865" s="33"/>
      <c r="C865" s="34"/>
      <c r="D865" s="34"/>
      <c r="E865" s="3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25">
      <c r="A866" s="1"/>
      <c r="B866" s="33"/>
      <c r="C866" s="34"/>
      <c r="D866" s="34"/>
      <c r="E866" s="3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25">
      <c r="A867" s="1"/>
      <c r="B867" s="33"/>
      <c r="C867" s="34"/>
      <c r="D867" s="34"/>
      <c r="E867" s="3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25">
      <c r="A868" s="1"/>
      <c r="B868" s="33"/>
      <c r="C868" s="34"/>
      <c r="D868" s="34"/>
      <c r="E868" s="3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25">
      <c r="A869" s="1"/>
      <c r="B869" s="33"/>
      <c r="C869" s="34"/>
      <c r="D869" s="34"/>
      <c r="E869" s="3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25">
      <c r="A870" s="1"/>
      <c r="B870" s="33"/>
      <c r="C870" s="34"/>
      <c r="D870" s="34"/>
      <c r="E870" s="3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25">
      <c r="A871" s="1"/>
      <c r="B871" s="33"/>
      <c r="C871" s="34"/>
      <c r="D871" s="34"/>
      <c r="E871" s="3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25">
      <c r="A872" s="1"/>
      <c r="B872" s="33"/>
      <c r="C872" s="34"/>
      <c r="D872" s="34"/>
      <c r="E872" s="3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25">
      <c r="A873" s="1"/>
      <c r="B873" s="33"/>
      <c r="C873" s="34"/>
      <c r="D873" s="34"/>
      <c r="E873" s="3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25">
      <c r="A874" s="1"/>
      <c r="B874" s="33"/>
      <c r="C874" s="34"/>
      <c r="D874" s="34"/>
      <c r="E874" s="3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25">
      <c r="A875" s="1"/>
      <c r="B875" s="33"/>
      <c r="C875" s="34"/>
      <c r="D875" s="34"/>
      <c r="E875" s="3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25">
      <c r="A876" s="1"/>
      <c r="B876" s="33"/>
      <c r="C876" s="34"/>
      <c r="D876" s="34"/>
      <c r="E876" s="3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25">
      <c r="A877" s="1"/>
      <c r="B877" s="33"/>
      <c r="C877" s="34"/>
      <c r="D877" s="34"/>
      <c r="E877" s="3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25">
      <c r="A878" s="1"/>
      <c r="B878" s="33"/>
      <c r="C878" s="34"/>
      <c r="D878" s="34"/>
      <c r="E878" s="3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25">
      <c r="A879" s="1"/>
      <c r="B879" s="33"/>
      <c r="C879" s="34"/>
      <c r="D879" s="34"/>
      <c r="E879" s="3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25">
      <c r="A880" s="1"/>
      <c r="B880" s="33"/>
      <c r="C880" s="34"/>
      <c r="D880" s="34"/>
      <c r="E880" s="3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25">
      <c r="A881" s="1"/>
      <c r="B881" s="33"/>
      <c r="C881" s="34"/>
      <c r="D881" s="34"/>
      <c r="E881" s="3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25">
      <c r="A882" s="1"/>
      <c r="B882" s="33"/>
      <c r="C882" s="34"/>
      <c r="D882" s="34"/>
      <c r="E882" s="3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25">
      <c r="A883" s="1"/>
      <c r="B883" s="33"/>
      <c r="C883" s="34"/>
      <c r="D883" s="34"/>
      <c r="E883" s="3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25">
      <c r="A884" s="1"/>
      <c r="B884" s="33"/>
      <c r="C884" s="34"/>
      <c r="D884" s="34"/>
      <c r="E884" s="3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25">
      <c r="A885" s="1"/>
      <c r="B885" s="33"/>
      <c r="C885" s="34"/>
      <c r="D885" s="34"/>
      <c r="E885" s="3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25">
      <c r="A886" s="1"/>
      <c r="B886" s="33"/>
      <c r="C886" s="34"/>
      <c r="D886" s="34"/>
      <c r="E886" s="3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25">
      <c r="A887" s="1"/>
      <c r="B887" s="33"/>
      <c r="C887" s="34"/>
      <c r="D887" s="34"/>
      <c r="E887" s="3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25">
      <c r="A888" s="1"/>
      <c r="B888" s="33"/>
      <c r="C888" s="34"/>
      <c r="D888" s="34"/>
      <c r="E888" s="3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25">
      <c r="A889" s="1"/>
      <c r="B889" s="33"/>
      <c r="C889" s="34"/>
      <c r="D889" s="34"/>
      <c r="E889" s="3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25">
      <c r="A890" s="1"/>
      <c r="B890" s="33"/>
      <c r="C890" s="34"/>
      <c r="D890" s="34"/>
      <c r="E890" s="3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25">
      <c r="A891" s="1"/>
      <c r="B891" s="33"/>
      <c r="C891" s="34"/>
      <c r="D891" s="34"/>
      <c r="E891" s="3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25">
      <c r="A892" s="1"/>
      <c r="B892" s="33"/>
      <c r="C892" s="34"/>
      <c r="D892" s="34"/>
      <c r="E892" s="3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25">
      <c r="A893" s="1"/>
      <c r="B893" s="33"/>
      <c r="C893" s="34"/>
      <c r="D893" s="34"/>
      <c r="E893" s="3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25">
      <c r="A894" s="1"/>
      <c r="B894" s="33"/>
      <c r="C894" s="34"/>
      <c r="D894" s="34"/>
      <c r="E894" s="3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25">
      <c r="A895" s="1"/>
      <c r="B895" s="33"/>
      <c r="C895" s="34"/>
      <c r="D895" s="34"/>
      <c r="E895" s="3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25">
      <c r="A896" s="1"/>
      <c r="B896" s="33"/>
      <c r="C896" s="34"/>
      <c r="D896" s="34"/>
      <c r="E896" s="3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25">
      <c r="A897" s="1"/>
      <c r="B897" s="33"/>
      <c r="C897" s="34"/>
      <c r="D897" s="34"/>
      <c r="E897" s="3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25">
      <c r="A898" s="1"/>
      <c r="B898" s="33"/>
      <c r="C898" s="34"/>
      <c r="D898" s="34"/>
      <c r="E898" s="3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25">
      <c r="A899" s="1"/>
      <c r="B899" s="33"/>
      <c r="C899" s="34"/>
      <c r="D899" s="34"/>
      <c r="E899" s="3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25">
      <c r="A900" s="1"/>
      <c r="B900" s="33"/>
      <c r="C900" s="34"/>
      <c r="D900" s="34"/>
      <c r="E900" s="3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25">
      <c r="A901" s="1"/>
      <c r="B901" s="33"/>
      <c r="C901" s="34"/>
      <c r="D901" s="34"/>
      <c r="E901" s="3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25">
      <c r="A902" s="1"/>
      <c r="B902" s="33"/>
      <c r="C902" s="34"/>
      <c r="D902" s="34"/>
      <c r="E902" s="3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25">
      <c r="A903" s="1"/>
      <c r="B903" s="33"/>
      <c r="C903" s="34"/>
      <c r="D903" s="34"/>
      <c r="E903" s="3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25">
      <c r="A904" s="1"/>
      <c r="B904" s="33"/>
      <c r="C904" s="34"/>
      <c r="D904" s="34"/>
      <c r="E904" s="3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25">
      <c r="A905" s="1"/>
      <c r="B905" s="33"/>
      <c r="C905" s="34"/>
      <c r="D905" s="34"/>
      <c r="E905" s="3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25">
      <c r="A906" s="1"/>
      <c r="B906" s="33"/>
      <c r="C906" s="34"/>
      <c r="D906" s="34"/>
      <c r="E906" s="3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25">
      <c r="A907" s="1"/>
      <c r="B907" s="33"/>
      <c r="C907" s="34"/>
      <c r="D907" s="34"/>
      <c r="E907" s="3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25">
      <c r="A908" s="1"/>
      <c r="B908" s="33"/>
      <c r="C908" s="34"/>
      <c r="D908" s="34"/>
      <c r="E908" s="3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25">
      <c r="A909" s="1"/>
      <c r="B909" s="33"/>
      <c r="C909" s="34"/>
      <c r="D909" s="34"/>
      <c r="E909" s="3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25">
      <c r="A910" s="1"/>
      <c r="B910" s="33"/>
      <c r="C910" s="34"/>
      <c r="D910" s="34"/>
      <c r="E910" s="3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25">
      <c r="A911" s="1"/>
      <c r="B911" s="33"/>
      <c r="C911" s="34"/>
      <c r="D911" s="34"/>
      <c r="E911" s="3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25">
      <c r="A912" s="1"/>
      <c r="B912" s="33"/>
      <c r="C912" s="34"/>
      <c r="D912" s="34"/>
      <c r="E912" s="3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25">
      <c r="A913" s="1"/>
      <c r="B913" s="33"/>
      <c r="C913" s="34"/>
      <c r="D913" s="34"/>
      <c r="E913" s="3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25">
      <c r="A914" s="1"/>
      <c r="B914" s="33"/>
      <c r="C914" s="34"/>
      <c r="D914" s="34"/>
      <c r="E914" s="3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25">
      <c r="A915" s="1"/>
      <c r="B915" s="33"/>
      <c r="C915" s="34"/>
      <c r="D915" s="34"/>
      <c r="E915" s="3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25">
      <c r="A916" s="1"/>
      <c r="B916" s="33"/>
      <c r="C916" s="34"/>
      <c r="D916" s="34"/>
      <c r="E916" s="3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25">
      <c r="A917" s="1"/>
      <c r="B917" s="33"/>
      <c r="C917" s="34"/>
      <c r="D917" s="34"/>
      <c r="E917" s="3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25">
      <c r="A918" s="1"/>
      <c r="B918" s="33"/>
      <c r="C918" s="34"/>
      <c r="D918" s="34"/>
      <c r="E918" s="3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25">
      <c r="A919" s="1"/>
      <c r="B919" s="33"/>
      <c r="C919" s="34"/>
      <c r="D919" s="34"/>
      <c r="E919" s="3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25">
      <c r="A920" s="1"/>
      <c r="B920" s="33"/>
      <c r="C920" s="34"/>
      <c r="D920" s="34"/>
      <c r="E920" s="3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25">
      <c r="A921" s="1"/>
      <c r="B921" s="33"/>
      <c r="C921" s="34"/>
      <c r="D921" s="34"/>
      <c r="E921" s="3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25">
      <c r="A922" s="1"/>
      <c r="B922" s="33"/>
      <c r="C922" s="34"/>
      <c r="D922" s="34"/>
      <c r="E922" s="3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25">
      <c r="A923" s="1"/>
      <c r="B923" s="33"/>
      <c r="C923" s="34"/>
      <c r="D923" s="34"/>
      <c r="E923" s="3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25">
      <c r="A924" s="1"/>
      <c r="B924" s="33"/>
      <c r="C924" s="34"/>
      <c r="D924" s="34"/>
      <c r="E924" s="3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25">
      <c r="A925" s="1"/>
      <c r="B925" s="33"/>
      <c r="C925" s="34"/>
      <c r="D925" s="34"/>
      <c r="E925" s="3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25">
      <c r="A926" s="1"/>
      <c r="B926" s="33"/>
      <c r="C926" s="34"/>
      <c r="D926" s="34"/>
      <c r="E926" s="3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25">
      <c r="A927" s="1"/>
      <c r="B927" s="33"/>
      <c r="C927" s="34"/>
      <c r="D927" s="34"/>
      <c r="E927" s="3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25">
      <c r="A928" s="1"/>
      <c r="B928" s="33"/>
      <c r="C928" s="34"/>
      <c r="D928" s="34"/>
      <c r="E928" s="3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25">
      <c r="A929" s="1"/>
      <c r="B929" s="33"/>
      <c r="C929" s="34"/>
      <c r="D929" s="34"/>
      <c r="E929" s="3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25">
      <c r="A930" s="1"/>
      <c r="B930" s="33"/>
      <c r="C930" s="34"/>
      <c r="D930" s="34"/>
      <c r="E930" s="3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25">
      <c r="A931" s="1"/>
      <c r="B931" s="33"/>
      <c r="C931" s="34"/>
      <c r="D931" s="34"/>
      <c r="E931" s="3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25">
      <c r="A932" s="1"/>
      <c r="B932" s="33"/>
      <c r="C932" s="34"/>
      <c r="D932" s="34"/>
      <c r="E932" s="3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25">
      <c r="A933" s="1"/>
      <c r="B933" s="33"/>
      <c r="C933" s="34"/>
      <c r="D933" s="34"/>
      <c r="E933" s="3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25">
      <c r="A934" s="1"/>
      <c r="B934" s="33"/>
      <c r="C934" s="34"/>
      <c r="D934" s="34"/>
      <c r="E934" s="3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25">
      <c r="A935" s="1"/>
      <c r="B935" s="33"/>
      <c r="C935" s="34"/>
      <c r="D935" s="34"/>
      <c r="E935" s="3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25">
      <c r="A936" s="1"/>
      <c r="B936" s="33"/>
      <c r="C936" s="34"/>
      <c r="D936" s="34"/>
      <c r="E936" s="3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25">
      <c r="A937" s="1"/>
      <c r="B937" s="33"/>
      <c r="C937" s="34"/>
      <c r="D937" s="34"/>
      <c r="E937" s="3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25">
      <c r="A938" s="1"/>
      <c r="B938" s="33"/>
      <c r="C938" s="34"/>
      <c r="D938" s="34"/>
      <c r="E938" s="3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25">
      <c r="A939" s="1"/>
      <c r="B939" s="33"/>
      <c r="C939" s="34"/>
      <c r="D939" s="34"/>
      <c r="E939" s="3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25">
      <c r="A940" s="1"/>
      <c r="B940" s="33"/>
      <c r="C940" s="34"/>
      <c r="D940" s="34"/>
      <c r="E940" s="3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25">
      <c r="A941" s="1"/>
      <c r="B941" s="33"/>
      <c r="C941" s="34"/>
      <c r="D941" s="34"/>
      <c r="E941" s="3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25">
      <c r="A942" s="1"/>
      <c r="B942" s="33"/>
      <c r="C942" s="34"/>
      <c r="D942" s="34"/>
      <c r="E942" s="3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25">
      <c r="A943" s="1"/>
      <c r="B943" s="33"/>
      <c r="C943" s="34"/>
      <c r="D943" s="34"/>
      <c r="E943" s="3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25">
      <c r="A944" s="1"/>
      <c r="B944" s="33"/>
      <c r="C944" s="34"/>
      <c r="D944" s="34"/>
      <c r="E944" s="3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25">
      <c r="A945" s="1"/>
      <c r="B945" s="33"/>
      <c r="C945" s="34"/>
      <c r="D945" s="34"/>
      <c r="E945" s="3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25">
      <c r="A946" s="1"/>
      <c r="B946" s="33"/>
      <c r="C946" s="34"/>
      <c r="D946" s="34"/>
      <c r="E946" s="3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25">
      <c r="A947" s="1"/>
      <c r="B947" s="33"/>
      <c r="C947" s="34"/>
      <c r="D947" s="34"/>
      <c r="E947" s="3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25">
      <c r="A948" s="1"/>
      <c r="B948" s="33"/>
      <c r="C948" s="34"/>
      <c r="D948" s="34"/>
      <c r="E948" s="3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25">
      <c r="A949" s="1"/>
      <c r="B949" s="33"/>
      <c r="C949" s="34"/>
      <c r="D949" s="34"/>
      <c r="E949" s="3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25">
      <c r="A950" s="1"/>
      <c r="B950" s="33"/>
      <c r="C950" s="34"/>
      <c r="D950" s="34"/>
      <c r="E950" s="3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25">
      <c r="A951" s="1"/>
      <c r="B951" s="33"/>
      <c r="C951" s="34"/>
      <c r="D951" s="34"/>
      <c r="E951" s="3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25">
      <c r="A952" s="1"/>
      <c r="B952" s="33"/>
      <c r="C952" s="34"/>
      <c r="D952" s="34"/>
      <c r="E952" s="3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25">
      <c r="A953" s="1"/>
      <c r="B953" s="33"/>
      <c r="C953" s="34"/>
      <c r="D953" s="34"/>
      <c r="E953" s="3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25">
      <c r="A954" s="1"/>
      <c r="B954" s="33"/>
      <c r="C954" s="34"/>
      <c r="D954" s="34"/>
      <c r="E954" s="3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25">
      <c r="A955" s="1"/>
      <c r="B955" s="33"/>
      <c r="C955" s="34"/>
      <c r="D955" s="34"/>
      <c r="E955" s="3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25">
      <c r="A956" s="1"/>
      <c r="B956" s="33"/>
      <c r="C956" s="34"/>
      <c r="D956" s="34"/>
      <c r="E956" s="3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25">
      <c r="A957" s="1"/>
      <c r="B957" s="33"/>
      <c r="C957" s="34"/>
      <c r="D957" s="34"/>
      <c r="E957" s="3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25">
      <c r="A958" s="1"/>
      <c r="B958" s="33"/>
      <c r="C958" s="34"/>
      <c r="D958" s="34"/>
      <c r="E958" s="3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25">
      <c r="A959" s="1"/>
      <c r="B959" s="33"/>
      <c r="C959" s="34"/>
      <c r="D959" s="34"/>
      <c r="E959" s="3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25">
      <c r="A960" s="1"/>
      <c r="B960" s="33"/>
      <c r="C960" s="34"/>
      <c r="D960" s="34"/>
      <c r="E960" s="3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25">
      <c r="A961" s="1"/>
      <c r="B961" s="33"/>
      <c r="C961" s="34"/>
      <c r="D961" s="34"/>
      <c r="E961" s="3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25">
      <c r="A962" s="1"/>
      <c r="B962" s="33"/>
      <c r="C962" s="34"/>
      <c r="D962" s="34"/>
      <c r="E962" s="3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25">
      <c r="A963" s="1"/>
      <c r="B963" s="33"/>
      <c r="C963" s="34"/>
      <c r="D963" s="34"/>
      <c r="E963" s="3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25">
      <c r="A964" s="1"/>
      <c r="B964" s="33"/>
      <c r="C964" s="34"/>
      <c r="D964" s="34"/>
      <c r="E964" s="3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25">
      <c r="A965" s="1"/>
      <c r="B965" s="33"/>
      <c r="C965" s="34"/>
      <c r="D965" s="34"/>
      <c r="E965" s="3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25">
      <c r="A966" s="1"/>
      <c r="B966" s="33"/>
      <c r="C966" s="34"/>
      <c r="D966" s="34"/>
      <c r="E966" s="3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25">
      <c r="A967" s="1"/>
      <c r="B967" s="33"/>
      <c r="C967" s="34"/>
      <c r="D967" s="34"/>
      <c r="E967" s="3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25">
      <c r="A968" s="1"/>
      <c r="B968" s="33"/>
      <c r="C968" s="34"/>
      <c r="D968" s="34"/>
      <c r="E968" s="3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25">
      <c r="A969" s="1"/>
      <c r="B969" s="33"/>
      <c r="C969" s="34"/>
      <c r="D969" s="34"/>
      <c r="E969" s="3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25">
      <c r="A970" s="1"/>
      <c r="B970" s="33"/>
      <c r="C970" s="34"/>
      <c r="D970" s="34"/>
      <c r="E970" s="3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25">
      <c r="A971" s="1"/>
      <c r="B971" s="33"/>
      <c r="C971" s="34"/>
      <c r="D971" s="34"/>
      <c r="E971" s="3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25">
      <c r="A972" s="1"/>
      <c r="B972" s="33"/>
      <c r="C972" s="34"/>
      <c r="D972" s="34"/>
      <c r="E972" s="3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25">
      <c r="A973" s="1"/>
      <c r="B973" s="33"/>
      <c r="C973" s="34"/>
      <c r="D973" s="34"/>
      <c r="E973" s="3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25">
      <c r="A974" s="1"/>
      <c r="B974" s="33"/>
      <c r="C974" s="34"/>
      <c r="D974" s="34"/>
      <c r="E974" s="3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25">
      <c r="A975" s="1"/>
      <c r="B975" s="33"/>
      <c r="C975" s="34"/>
      <c r="D975" s="34"/>
      <c r="E975" s="3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25">
      <c r="A976" s="1"/>
      <c r="B976" s="33"/>
      <c r="C976" s="34"/>
      <c r="D976" s="34"/>
      <c r="E976" s="3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25">
      <c r="A977" s="1"/>
      <c r="B977" s="33"/>
      <c r="C977" s="34"/>
      <c r="D977" s="34"/>
      <c r="E977" s="3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25">
      <c r="A978" s="1"/>
      <c r="B978" s="33"/>
      <c r="C978" s="34"/>
      <c r="D978" s="34"/>
      <c r="E978" s="3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25">
      <c r="A979" s="1"/>
      <c r="B979" s="33"/>
      <c r="C979" s="34"/>
      <c r="D979" s="34"/>
      <c r="E979" s="3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25">
      <c r="A980" s="1"/>
      <c r="B980" s="33"/>
      <c r="C980" s="34"/>
      <c r="D980" s="34"/>
      <c r="E980" s="3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25">
      <c r="A981" s="1"/>
      <c r="B981" s="33"/>
      <c r="C981" s="34"/>
      <c r="D981" s="34"/>
      <c r="E981" s="3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25">
      <c r="A982" s="1"/>
      <c r="B982" s="33"/>
      <c r="C982" s="34"/>
      <c r="D982" s="34"/>
      <c r="E982" s="3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25">
      <c r="A983" s="1"/>
      <c r="B983" s="33"/>
      <c r="C983" s="34"/>
      <c r="D983" s="34"/>
      <c r="E983" s="3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25">
      <c r="A984" s="1"/>
      <c r="B984" s="33"/>
      <c r="C984" s="34"/>
      <c r="D984" s="34"/>
      <c r="E984" s="3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25">
      <c r="A985" s="1"/>
      <c r="B985" s="33"/>
      <c r="C985" s="34"/>
      <c r="D985" s="34"/>
      <c r="E985" s="3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25">
      <c r="A986" s="1"/>
      <c r="B986" s="33"/>
      <c r="C986" s="34"/>
      <c r="D986" s="34"/>
      <c r="E986" s="3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25">
      <c r="A987" s="1"/>
      <c r="B987" s="33"/>
      <c r="C987" s="34"/>
      <c r="D987" s="34"/>
      <c r="E987" s="3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25">
      <c r="A988" s="1"/>
      <c r="B988" s="33"/>
      <c r="C988" s="34"/>
      <c r="D988" s="34"/>
      <c r="E988" s="3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25">
      <c r="A989" s="1"/>
      <c r="B989" s="33"/>
      <c r="C989" s="34"/>
      <c r="D989" s="34"/>
      <c r="E989" s="3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25">
      <c r="A990" s="1"/>
      <c r="B990" s="33"/>
      <c r="C990" s="34"/>
      <c r="D990" s="34"/>
      <c r="E990" s="3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25">
      <c r="A991" s="1"/>
      <c r="B991" s="33"/>
      <c r="C991" s="34"/>
      <c r="D991" s="34"/>
      <c r="E991" s="3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25">
      <c r="A992" s="1"/>
      <c r="B992" s="33"/>
      <c r="C992" s="34"/>
      <c r="D992" s="34"/>
      <c r="E992" s="3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25">
      <c r="A993" s="1"/>
      <c r="B993" s="33"/>
      <c r="C993" s="34"/>
      <c r="D993" s="34"/>
      <c r="E993" s="3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25">
      <c r="A994" s="1"/>
      <c r="B994" s="33"/>
      <c r="C994" s="34"/>
      <c r="D994" s="34"/>
      <c r="E994" s="3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25">
      <c r="A995" s="1"/>
      <c r="B995" s="33"/>
      <c r="C995" s="34"/>
      <c r="D995" s="34"/>
      <c r="E995" s="3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25">
      <c r="A996" s="1"/>
      <c r="B996" s="33"/>
      <c r="C996" s="34"/>
      <c r="D996" s="34"/>
      <c r="E996" s="3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25">
      <c r="A997" s="1"/>
      <c r="B997" s="33"/>
      <c r="C997" s="34"/>
      <c r="D997" s="34"/>
      <c r="E997" s="3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25">
      <c r="A998" s="1"/>
      <c r="B998" s="33"/>
      <c r="C998" s="34"/>
      <c r="D998" s="34"/>
      <c r="E998" s="3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25">
      <c r="A999" s="1"/>
      <c r="B999" s="33"/>
      <c r="C999" s="34"/>
      <c r="D999" s="34"/>
      <c r="E999" s="3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25">
      <c r="A1000" s="1"/>
      <c r="B1000" s="33"/>
      <c r="C1000" s="34"/>
      <c r="D1000" s="34"/>
      <c r="E1000" s="3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2"/>
  <sheetViews>
    <sheetView workbookViewId="0">
      <pane ySplit="1" topLeftCell="A129" activePane="bottomLeft" state="frozen"/>
      <selection pane="bottomLeft" activeCell="F2" sqref="F2"/>
    </sheetView>
  </sheetViews>
  <sheetFormatPr defaultRowHeight="15" x14ac:dyDescent="0.25"/>
  <cols>
    <col min="1" max="2" width="28" style="37" customWidth="1"/>
    <col min="3" max="3" width="34" style="37" customWidth="1"/>
    <col min="4" max="4" width="62" style="37" customWidth="1"/>
  </cols>
  <sheetData>
    <row r="1" spans="1:6" x14ac:dyDescent="0.25">
      <c r="A1" s="40" t="s">
        <v>238</v>
      </c>
      <c r="B1" s="40" t="s">
        <v>239</v>
      </c>
      <c r="C1" s="40" t="s">
        <v>240</v>
      </c>
      <c r="D1" s="40" t="s">
        <v>241</v>
      </c>
      <c r="F1" s="233" t="s">
        <v>665</v>
      </c>
    </row>
    <row r="2" spans="1:6" x14ac:dyDescent="0.25">
      <c r="A2" s="38" t="s">
        <v>242</v>
      </c>
      <c r="B2" s="38" t="s">
        <v>242</v>
      </c>
      <c r="C2" s="38" t="s">
        <v>243</v>
      </c>
      <c r="D2" s="38" t="s">
        <v>244</v>
      </c>
      <c r="F2" t="str">
        <f>IF(A2&lt;&gt;B2,"Different","Same")</f>
        <v>Same</v>
      </c>
    </row>
    <row r="3" spans="1:6" x14ac:dyDescent="0.25">
      <c r="A3" s="38" t="s">
        <v>245</v>
      </c>
      <c r="B3" s="38" t="s">
        <v>245</v>
      </c>
      <c r="C3" s="38" t="s">
        <v>246</v>
      </c>
      <c r="D3" s="38" t="s">
        <v>247</v>
      </c>
      <c r="F3" t="str">
        <f t="shared" ref="F3:F66" si="0">IF(A3&lt;&gt;B3,"Different","Same")</f>
        <v>Same</v>
      </c>
    </row>
    <row r="4" spans="1:6" x14ac:dyDescent="0.25">
      <c r="A4" s="38" t="s">
        <v>248</v>
      </c>
      <c r="B4" s="38" t="s">
        <v>248</v>
      </c>
      <c r="C4" s="38" t="s">
        <v>249</v>
      </c>
      <c r="D4" s="38" t="s">
        <v>250</v>
      </c>
      <c r="F4" t="str">
        <f t="shared" si="0"/>
        <v>Same</v>
      </c>
    </row>
    <row r="5" spans="1:6" x14ac:dyDescent="0.25">
      <c r="A5" s="38" t="s">
        <v>251</v>
      </c>
      <c r="B5" s="38" t="s">
        <v>251</v>
      </c>
      <c r="C5" s="38" t="s">
        <v>252</v>
      </c>
      <c r="D5" s="38" t="s">
        <v>253</v>
      </c>
      <c r="F5" t="str">
        <f t="shared" si="0"/>
        <v>Same</v>
      </c>
    </row>
    <row r="6" spans="1:6" ht="30" x14ac:dyDescent="0.25">
      <c r="A6" s="38" t="s">
        <v>254</v>
      </c>
      <c r="B6" s="38" t="s">
        <v>254</v>
      </c>
      <c r="C6" s="38" t="s">
        <v>154</v>
      </c>
      <c r="D6" s="38"/>
      <c r="F6" t="str">
        <f t="shared" si="0"/>
        <v>Same</v>
      </c>
    </row>
    <row r="7" spans="1:6" x14ac:dyDescent="0.25">
      <c r="A7" s="38" t="s">
        <v>255</v>
      </c>
      <c r="B7" s="38" t="s">
        <v>255</v>
      </c>
      <c r="C7" s="38" t="s">
        <v>161</v>
      </c>
      <c r="D7" s="38"/>
      <c r="F7" t="str">
        <f t="shared" si="0"/>
        <v>Same</v>
      </c>
    </row>
    <row r="8" spans="1:6" x14ac:dyDescent="0.25">
      <c r="A8" s="38" t="s">
        <v>256</v>
      </c>
      <c r="B8" s="38" t="s">
        <v>257</v>
      </c>
      <c r="C8" s="38" t="s">
        <v>198</v>
      </c>
      <c r="D8" s="38" t="s">
        <v>258</v>
      </c>
      <c r="F8" t="str">
        <f t="shared" si="0"/>
        <v>Different</v>
      </c>
    </row>
    <row r="9" spans="1:6" x14ac:dyDescent="0.25">
      <c r="A9" s="38" t="s">
        <v>259</v>
      </c>
      <c r="B9" s="38" t="s">
        <v>259</v>
      </c>
      <c r="C9" s="38" t="s">
        <v>260</v>
      </c>
      <c r="D9" s="38"/>
      <c r="F9" t="str">
        <f t="shared" si="0"/>
        <v>Same</v>
      </c>
    </row>
    <row r="10" spans="1:6" x14ac:dyDescent="0.25">
      <c r="A10" s="38" t="s">
        <v>261</v>
      </c>
      <c r="B10" s="38" t="s">
        <v>261</v>
      </c>
      <c r="C10" s="38" t="s">
        <v>158</v>
      </c>
      <c r="D10" s="38"/>
      <c r="F10" t="str">
        <f t="shared" si="0"/>
        <v>Same</v>
      </c>
    </row>
    <row r="11" spans="1:6" x14ac:dyDescent="0.25">
      <c r="A11" s="38" t="s">
        <v>262</v>
      </c>
      <c r="B11" s="38" t="s">
        <v>262</v>
      </c>
      <c r="C11" s="38" t="s">
        <v>103</v>
      </c>
      <c r="D11" s="38"/>
      <c r="F11" t="str">
        <f t="shared" si="0"/>
        <v>Same</v>
      </c>
    </row>
    <row r="12" spans="1:6" x14ac:dyDescent="0.25">
      <c r="A12" s="38" t="s">
        <v>263</v>
      </c>
      <c r="B12" s="38" t="s">
        <v>263</v>
      </c>
      <c r="C12" s="38" t="s">
        <v>213</v>
      </c>
      <c r="D12" s="38"/>
      <c r="F12" t="str">
        <f t="shared" si="0"/>
        <v>Same</v>
      </c>
    </row>
    <row r="13" spans="1:6" x14ac:dyDescent="0.25">
      <c r="A13" s="38" t="s">
        <v>264</v>
      </c>
      <c r="B13" s="38" t="s">
        <v>264</v>
      </c>
      <c r="C13" s="38" t="s">
        <v>212</v>
      </c>
      <c r="D13" s="38"/>
      <c r="F13" t="str">
        <f t="shared" si="0"/>
        <v>Same</v>
      </c>
    </row>
    <row r="14" spans="1:6" ht="30" x14ac:dyDescent="0.25">
      <c r="A14" s="38" t="s">
        <v>265</v>
      </c>
      <c r="B14" s="38" t="s">
        <v>265</v>
      </c>
      <c r="C14" s="38" t="s">
        <v>228</v>
      </c>
      <c r="D14" s="38"/>
      <c r="F14" t="str">
        <f t="shared" si="0"/>
        <v>Same</v>
      </c>
    </row>
    <row r="15" spans="1:6" x14ac:dyDescent="0.25">
      <c r="A15" s="38" t="s">
        <v>266</v>
      </c>
      <c r="B15" s="38" t="s">
        <v>266</v>
      </c>
      <c r="C15" s="38" t="s">
        <v>224</v>
      </c>
      <c r="D15" s="38"/>
      <c r="F15" t="str">
        <f t="shared" si="0"/>
        <v>Same</v>
      </c>
    </row>
    <row r="16" spans="1:6" x14ac:dyDescent="0.25">
      <c r="A16" s="38" t="s">
        <v>267</v>
      </c>
      <c r="B16" s="38" t="s">
        <v>267</v>
      </c>
      <c r="C16" s="38" t="s">
        <v>3</v>
      </c>
      <c r="D16" s="38"/>
      <c r="F16" t="str">
        <f t="shared" si="0"/>
        <v>Same</v>
      </c>
    </row>
    <row r="17" spans="1:6" ht="30" x14ac:dyDescent="0.25">
      <c r="A17" s="38" t="s">
        <v>268</v>
      </c>
      <c r="B17" s="38" t="s">
        <v>269</v>
      </c>
      <c r="C17" s="38" t="s">
        <v>25</v>
      </c>
      <c r="D17" s="38" t="s">
        <v>270</v>
      </c>
      <c r="F17" t="str">
        <f t="shared" si="0"/>
        <v>Different</v>
      </c>
    </row>
    <row r="18" spans="1:6" ht="30" x14ac:dyDescent="0.25">
      <c r="A18" s="38" t="s">
        <v>268</v>
      </c>
      <c r="B18" s="38" t="s">
        <v>269</v>
      </c>
      <c r="C18" s="38" t="s">
        <v>271</v>
      </c>
      <c r="D18" s="38" t="s">
        <v>270</v>
      </c>
      <c r="F18" t="str">
        <f t="shared" si="0"/>
        <v>Different</v>
      </c>
    </row>
    <row r="19" spans="1:6" x14ac:dyDescent="0.25">
      <c r="A19" s="38" t="s">
        <v>272</v>
      </c>
      <c r="B19" s="38" t="s">
        <v>273</v>
      </c>
      <c r="C19" s="38" t="s">
        <v>199</v>
      </c>
      <c r="D19" s="38" t="s">
        <v>274</v>
      </c>
      <c r="F19" t="str">
        <f t="shared" si="0"/>
        <v>Different</v>
      </c>
    </row>
    <row r="20" spans="1:6" x14ac:dyDescent="0.25">
      <c r="A20" s="38" t="s">
        <v>275</v>
      </c>
      <c r="B20" s="38" t="s">
        <v>275</v>
      </c>
      <c r="C20" s="38" t="s">
        <v>276</v>
      </c>
      <c r="D20" s="38"/>
      <c r="F20" t="str">
        <f t="shared" si="0"/>
        <v>Same</v>
      </c>
    </row>
    <row r="21" spans="1:6" x14ac:dyDescent="0.25">
      <c r="A21" s="38" t="s">
        <v>277</v>
      </c>
      <c r="B21" s="38" t="s">
        <v>277</v>
      </c>
      <c r="C21" s="38" t="s">
        <v>211</v>
      </c>
      <c r="D21" s="38"/>
      <c r="F21" t="str">
        <f t="shared" si="0"/>
        <v>Same</v>
      </c>
    </row>
    <row r="22" spans="1:6" x14ac:dyDescent="0.25">
      <c r="A22" s="38" t="s">
        <v>278</v>
      </c>
      <c r="B22" s="38" t="s">
        <v>279</v>
      </c>
      <c r="C22" s="38" t="s">
        <v>33</v>
      </c>
      <c r="D22" s="38" t="s">
        <v>280</v>
      </c>
      <c r="F22" t="str">
        <f t="shared" si="0"/>
        <v>Different</v>
      </c>
    </row>
    <row r="23" spans="1:6" x14ac:dyDescent="0.25">
      <c r="A23" s="38" t="s">
        <v>281</v>
      </c>
      <c r="B23" s="38" t="s">
        <v>281</v>
      </c>
      <c r="C23" s="38" t="s">
        <v>217</v>
      </c>
      <c r="D23" s="38"/>
      <c r="F23" t="str">
        <f t="shared" si="0"/>
        <v>Same</v>
      </c>
    </row>
    <row r="24" spans="1:6" x14ac:dyDescent="0.25">
      <c r="A24" s="38" t="s">
        <v>282</v>
      </c>
      <c r="B24" s="38" t="s">
        <v>282</v>
      </c>
      <c r="C24" s="38" t="s">
        <v>283</v>
      </c>
      <c r="D24" s="38"/>
      <c r="F24" t="str">
        <f t="shared" si="0"/>
        <v>Same</v>
      </c>
    </row>
    <row r="25" spans="1:6" x14ac:dyDescent="0.25">
      <c r="A25" s="38" t="s">
        <v>284</v>
      </c>
      <c r="B25" s="38" t="s">
        <v>284</v>
      </c>
      <c r="C25" s="38" t="s">
        <v>285</v>
      </c>
      <c r="D25" s="38"/>
      <c r="F25" t="str">
        <f t="shared" si="0"/>
        <v>Same</v>
      </c>
    </row>
    <row r="26" spans="1:6" x14ac:dyDescent="0.25">
      <c r="A26" s="38" t="s">
        <v>286</v>
      </c>
      <c r="B26" s="38" t="s">
        <v>287</v>
      </c>
      <c r="C26" s="38" t="s">
        <v>151</v>
      </c>
      <c r="D26" s="38" t="s">
        <v>288</v>
      </c>
      <c r="F26" t="str">
        <f t="shared" si="0"/>
        <v>Different</v>
      </c>
    </row>
    <row r="27" spans="1:6" x14ac:dyDescent="0.25">
      <c r="A27" s="38" t="s">
        <v>289</v>
      </c>
      <c r="B27" s="38" t="s">
        <v>289</v>
      </c>
      <c r="C27" s="38" t="s">
        <v>116</v>
      </c>
      <c r="D27" s="38"/>
      <c r="F27" t="str">
        <f t="shared" si="0"/>
        <v>Same</v>
      </c>
    </row>
    <row r="28" spans="1:6" x14ac:dyDescent="0.25">
      <c r="A28" s="38" t="s">
        <v>290</v>
      </c>
      <c r="B28" s="38" t="s">
        <v>290</v>
      </c>
      <c r="C28" s="38" t="s">
        <v>218</v>
      </c>
      <c r="D28" s="38"/>
      <c r="F28" t="str">
        <f t="shared" si="0"/>
        <v>Same</v>
      </c>
    </row>
    <row r="29" spans="1:6" x14ac:dyDescent="0.25">
      <c r="A29" s="38" t="s">
        <v>291</v>
      </c>
      <c r="B29" s="38" t="s">
        <v>291</v>
      </c>
      <c r="C29" s="38" t="s">
        <v>107</v>
      </c>
      <c r="D29" s="38"/>
      <c r="F29" t="str">
        <f t="shared" si="0"/>
        <v>Same</v>
      </c>
    </row>
    <row r="30" spans="1:6" x14ac:dyDescent="0.25">
      <c r="A30" s="38" t="s">
        <v>292</v>
      </c>
      <c r="B30" s="38" t="s">
        <v>292</v>
      </c>
      <c r="C30" s="38" t="s">
        <v>293</v>
      </c>
      <c r="D30" s="38"/>
      <c r="F30" t="str">
        <f t="shared" si="0"/>
        <v>Same</v>
      </c>
    </row>
    <row r="31" spans="1:6" x14ac:dyDescent="0.25">
      <c r="A31" s="38" t="s">
        <v>294</v>
      </c>
      <c r="B31" s="38" t="s">
        <v>295</v>
      </c>
      <c r="C31" s="38" t="s">
        <v>61</v>
      </c>
      <c r="D31" s="38" t="s">
        <v>296</v>
      </c>
      <c r="F31" t="str">
        <f t="shared" si="0"/>
        <v>Different</v>
      </c>
    </row>
    <row r="32" spans="1:6" x14ac:dyDescent="0.25">
      <c r="A32" s="38" t="s">
        <v>297</v>
      </c>
      <c r="B32" s="38" t="s">
        <v>297</v>
      </c>
      <c r="C32" s="38" t="s">
        <v>96</v>
      </c>
      <c r="D32" s="38"/>
      <c r="F32" t="str">
        <f t="shared" si="0"/>
        <v>Same</v>
      </c>
    </row>
    <row r="33" spans="1:6" x14ac:dyDescent="0.25">
      <c r="A33" s="38" t="s">
        <v>298</v>
      </c>
      <c r="B33" s="38" t="s">
        <v>298</v>
      </c>
      <c r="C33" s="38" t="s">
        <v>109</v>
      </c>
      <c r="D33" s="38"/>
      <c r="F33" t="str">
        <f t="shared" si="0"/>
        <v>Same</v>
      </c>
    </row>
    <row r="34" spans="1:6" x14ac:dyDescent="0.25">
      <c r="A34" s="38" t="s">
        <v>299</v>
      </c>
      <c r="B34" s="38" t="s">
        <v>299</v>
      </c>
      <c r="C34" s="38" t="s">
        <v>155</v>
      </c>
      <c r="D34" s="38"/>
      <c r="F34" t="str">
        <f t="shared" si="0"/>
        <v>Same</v>
      </c>
    </row>
    <row r="35" spans="1:6" x14ac:dyDescent="0.25">
      <c r="A35" s="38" t="s">
        <v>300</v>
      </c>
      <c r="B35" s="38" t="s">
        <v>300</v>
      </c>
      <c r="C35" s="38" t="s">
        <v>12</v>
      </c>
      <c r="D35" s="38"/>
      <c r="F35" t="str">
        <f t="shared" si="0"/>
        <v>Same</v>
      </c>
    </row>
    <row r="36" spans="1:6" x14ac:dyDescent="0.25">
      <c r="A36" s="38" t="s">
        <v>301</v>
      </c>
      <c r="B36" s="38" t="s">
        <v>301</v>
      </c>
      <c r="C36" s="38" t="s">
        <v>302</v>
      </c>
      <c r="D36" s="38"/>
      <c r="F36" t="str">
        <f t="shared" si="0"/>
        <v>Same</v>
      </c>
    </row>
    <row r="37" spans="1:6" x14ac:dyDescent="0.25">
      <c r="A37" s="38" t="s">
        <v>303</v>
      </c>
      <c r="B37" s="38" t="s">
        <v>304</v>
      </c>
      <c r="C37" s="38" t="s">
        <v>145</v>
      </c>
      <c r="D37" s="38" t="s">
        <v>305</v>
      </c>
      <c r="F37" t="str">
        <f t="shared" si="0"/>
        <v>Different</v>
      </c>
    </row>
    <row r="38" spans="1:6" x14ac:dyDescent="0.25">
      <c r="A38" s="38" t="s">
        <v>306</v>
      </c>
      <c r="B38" s="38" t="s">
        <v>306</v>
      </c>
      <c r="C38" s="38" t="s">
        <v>86</v>
      </c>
      <c r="D38" s="38"/>
      <c r="F38" t="str">
        <f t="shared" si="0"/>
        <v>Same</v>
      </c>
    </row>
    <row r="39" spans="1:6" x14ac:dyDescent="0.25">
      <c r="A39" s="38" t="s">
        <v>307</v>
      </c>
      <c r="B39" s="38" t="s">
        <v>307</v>
      </c>
      <c r="C39" s="38" t="s">
        <v>90</v>
      </c>
      <c r="D39" s="38"/>
      <c r="F39" t="str">
        <f t="shared" si="0"/>
        <v>Same</v>
      </c>
    </row>
    <row r="40" spans="1:6" x14ac:dyDescent="0.25">
      <c r="A40" s="38" t="s">
        <v>308</v>
      </c>
      <c r="B40" s="38" t="s">
        <v>308</v>
      </c>
      <c r="C40" s="38" t="s">
        <v>69</v>
      </c>
      <c r="D40" s="38"/>
      <c r="F40" t="str">
        <f t="shared" si="0"/>
        <v>Same</v>
      </c>
    </row>
    <row r="41" spans="1:6" x14ac:dyDescent="0.25">
      <c r="A41" s="38" t="s">
        <v>309</v>
      </c>
      <c r="B41" s="38" t="s">
        <v>309</v>
      </c>
      <c r="C41" s="38" t="s">
        <v>190</v>
      </c>
      <c r="D41" s="38"/>
      <c r="F41" t="str">
        <f t="shared" si="0"/>
        <v>Same</v>
      </c>
    </row>
    <row r="42" spans="1:6" x14ac:dyDescent="0.25">
      <c r="A42" s="38" t="s">
        <v>310</v>
      </c>
      <c r="B42" s="38" t="s">
        <v>310</v>
      </c>
      <c r="C42" s="38" t="s">
        <v>108</v>
      </c>
      <c r="D42" s="38"/>
      <c r="F42" t="str">
        <f t="shared" si="0"/>
        <v>Same</v>
      </c>
    </row>
    <row r="43" spans="1:6" x14ac:dyDescent="0.25">
      <c r="A43" s="38" t="s">
        <v>311</v>
      </c>
      <c r="B43" s="38" t="s">
        <v>312</v>
      </c>
      <c r="C43" s="38" t="s">
        <v>201</v>
      </c>
      <c r="D43" s="38" t="s">
        <v>313</v>
      </c>
      <c r="F43" t="str">
        <f t="shared" si="0"/>
        <v>Different</v>
      </c>
    </row>
    <row r="44" spans="1:6" ht="30" x14ac:dyDescent="0.25">
      <c r="A44" s="38" t="s">
        <v>314</v>
      </c>
      <c r="B44" s="38" t="s">
        <v>314</v>
      </c>
      <c r="C44" s="38"/>
      <c r="D44" s="38" t="s">
        <v>315</v>
      </c>
      <c r="F44" t="str">
        <f t="shared" si="0"/>
        <v>Same</v>
      </c>
    </row>
    <row r="45" spans="1:6" x14ac:dyDescent="0.25">
      <c r="A45" s="38" t="s">
        <v>316</v>
      </c>
      <c r="B45" s="38" t="s">
        <v>316</v>
      </c>
      <c r="C45" s="38" t="s">
        <v>111</v>
      </c>
      <c r="D45" s="38"/>
      <c r="F45" t="str">
        <f t="shared" si="0"/>
        <v>Same</v>
      </c>
    </row>
    <row r="46" spans="1:6" x14ac:dyDescent="0.25">
      <c r="A46" s="38" t="s">
        <v>317</v>
      </c>
      <c r="B46" s="38" t="s">
        <v>317</v>
      </c>
      <c r="C46" s="38" t="s">
        <v>226</v>
      </c>
      <c r="D46" s="38"/>
      <c r="F46" t="str">
        <f t="shared" si="0"/>
        <v>Same</v>
      </c>
    </row>
    <row r="47" spans="1:6" x14ac:dyDescent="0.25">
      <c r="A47" s="38" t="s">
        <v>318</v>
      </c>
      <c r="B47" s="38" t="s">
        <v>318</v>
      </c>
      <c r="C47" s="38" t="s">
        <v>123</v>
      </c>
      <c r="D47" s="38"/>
      <c r="F47" t="str">
        <f t="shared" si="0"/>
        <v>Same</v>
      </c>
    </row>
    <row r="48" spans="1:6" x14ac:dyDescent="0.25">
      <c r="A48" s="38" t="s">
        <v>319</v>
      </c>
      <c r="B48" s="38" t="s">
        <v>319</v>
      </c>
      <c r="C48" s="38" t="s">
        <v>80</v>
      </c>
      <c r="D48" s="38"/>
      <c r="F48" t="str">
        <f t="shared" si="0"/>
        <v>Same</v>
      </c>
    </row>
    <row r="49" spans="1:6" ht="30" x14ac:dyDescent="0.25">
      <c r="A49" s="38" t="s">
        <v>320</v>
      </c>
      <c r="B49" s="38" t="s">
        <v>320</v>
      </c>
      <c r="C49" s="38" t="s">
        <v>32</v>
      </c>
      <c r="D49" s="38" t="s">
        <v>321</v>
      </c>
      <c r="F49" t="str">
        <f t="shared" si="0"/>
        <v>Same</v>
      </c>
    </row>
    <row r="50" spans="1:6" ht="30" x14ac:dyDescent="0.25">
      <c r="A50" s="38" t="s">
        <v>320</v>
      </c>
      <c r="B50" s="38" t="s">
        <v>320</v>
      </c>
      <c r="C50" s="38" t="s">
        <v>162</v>
      </c>
      <c r="D50" s="38" t="s">
        <v>321</v>
      </c>
      <c r="F50" t="str">
        <f t="shared" si="0"/>
        <v>Same</v>
      </c>
    </row>
    <row r="51" spans="1:6" x14ac:dyDescent="0.25">
      <c r="A51" s="38" t="s">
        <v>322</v>
      </c>
      <c r="B51" s="38" t="s">
        <v>322</v>
      </c>
      <c r="C51" s="38" t="s">
        <v>168</v>
      </c>
      <c r="D51" s="38"/>
      <c r="F51" t="str">
        <f t="shared" si="0"/>
        <v>Same</v>
      </c>
    </row>
    <row r="52" spans="1:6" x14ac:dyDescent="0.25">
      <c r="A52" s="38" t="s">
        <v>323</v>
      </c>
      <c r="B52" s="38" t="s">
        <v>323</v>
      </c>
      <c r="C52" s="38" t="s">
        <v>159</v>
      </c>
      <c r="D52" s="38"/>
      <c r="F52" t="str">
        <f t="shared" si="0"/>
        <v>Same</v>
      </c>
    </row>
    <row r="53" spans="1:6" x14ac:dyDescent="0.25">
      <c r="A53" s="38" t="s">
        <v>324</v>
      </c>
      <c r="B53" s="38" t="s">
        <v>325</v>
      </c>
      <c r="C53" s="38" t="s">
        <v>4</v>
      </c>
      <c r="D53" s="38" t="s">
        <v>326</v>
      </c>
      <c r="F53" t="str">
        <f t="shared" si="0"/>
        <v>Different</v>
      </c>
    </row>
    <row r="54" spans="1:6" x14ac:dyDescent="0.25">
      <c r="A54" s="38" t="s">
        <v>327</v>
      </c>
      <c r="B54" s="38" t="s">
        <v>328</v>
      </c>
      <c r="C54" s="38" t="s">
        <v>200</v>
      </c>
      <c r="D54" s="38" t="s">
        <v>329</v>
      </c>
      <c r="F54" t="str">
        <f t="shared" si="0"/>
        <v>Different</v>
      </c>
    </row>
    <row r="55" spans="1:6" x14ac:dyDescent="0.25">
      <c r="A55" s="38" t="s">
        <v>330</v>
      </c>
      <c r="B55" s="38" t="s">
        <v>330</v>
      </c>
      <c r="C55" s="38" t="s">
        <v>210</v>
      </c>
      <c r="D55" s="38"/>
      <c r="F55" t="str">
        <f t="shared" si="0"/>
        <v>Same</v>
      </c>
    </row>
    <row r="56" spans="1:6" x14ac:dyDescent="0.25">
      <c r="A56" s="38" t="s">
        <v>331</v>
      </c>
      <c r="B56" s="38" t="s">
        <v>331</v>
      </c>
      <c r="C56" s="38" t="s">
        <v>208</v>
      </c>
      <c r="D56" s="38"/>
      <c r="F56" t="str">
        <f t="shared" si="0"/>
        <v>Same</v>
      </c>
    </row>
    <row r="57" spans="1:6" x14ac:dyDescent="0.25">
      <c r="A57" s="38" t="s">
        <v>332</v>
      </c>
      <c r="B57" s="38" t="s">
        <v>332</v>
      </c>
      <c r="C57" s="38" t="s">
        <v>225</v>
      </c>
      <c r="D57" s="38"/>
      <c r="F57" t="str">
        <f t="shared" si="0"/>
        <v>Same</v>
      </c>
    </row>
    <row r="58" spans="1:6" x14ac:dyDescent="0.25">
      <c r="A58" s="38" t="s">
        <v>333</v>
      </c>
      <c r="B58" s="38" t="s">
        <v>333</v>
      </c>
      <c r="C58" s="38" t="s">
        <v>160</v>
      </c>
      <c r="D58" s="38"/>
      <c r="F58" t="str">
        <f t="shared" si="0"/>
        <v>Same</v>
      </c>
    </row>
    <row r="59" spans="1:6" x14ac:dyDescent="0.25">
      <c r="A59" s="38" t="s">
        <v>334</v>
      </c>
      <c r="B59" s="38" t="s">
        <v>334</v>
      </c>
      <c r="C59" s="38" t="s">
        <v>93</v>
      </c>
      <c r="D59" s="38"/>
      <c r="F59" t="str">
        <f t="shared" si="0"/>
        <v>Same</v>
      </c>
    </row>
    <row r="60" spans="1:6" x14ac:dyDescent="0.25">
      <c r="A60" s="38" t="s">
        <v>335</v>
      </c>
      <c r="B60" s="38" t="s">
        <v>336</v>
      </c>
      <c r="C60" s="38" t="s">
        <v>5</v>
      </c>
      <c r="D60" s="38" t="s">
        <v>337</v>
      </c>
      <c r="F60" t="str">
        <f t="shared" si="0"/>
        <v>Different</v>
      </c>
    </row>
    <row r="61" spans="1:6" x14ac:dyDescent="0.25">
      <c r="A61" s="38" t="s">
        <v>338</v>
      </c>
      <c r="B61" s="38" t="s">
        <v>339</v>
      </c>
      <c r="C61" s="38" t="s">
        <v>0</v>
      </c>
      <c r="D61" s="38" t="s">
        <v>340</v>
      </c>
      <c r="F61" t="str">
        <f t="shared" si="0"/>
        <v>Different</v>
      </c>
    </row>
    <row r="62" spans="1:6" x14ac:dyDescent="0.25">
      <c r="A62" s="38" t="s">
        <v>341</v>
      </c>
      <c r="B62" s="38" t="s">
        <v>341</v>
      </c>
      <c r="C62" s="38" t="s">
        <v>215</v>
      </c>
      <c r="D62" s="38"/>
      <c r="F62" t="str">
        <f t="shared" si="0"/>
        <v>Same</v>
      </c>
    </row>
    <row r="63" spans="1:6" x14ac:dyDescent="0.25">
      <c r="A63" s="38" t="s">
        <v>342</v>
      </c>
      <c r="B63" s="38" t="s">
        <v>342</v>
      </c>
      <c r="C63" s="38" t="s">
        <v>194</v>
      </c>
      <c r="D63" s="38"/>
      <c r="F63" t="str">
        <f t="shared" si="0"/>
        <v>Same</v>
      </c>
    </row>
    <row r="64" spans="1:6" x14ac:dyDescent="0.25">
      <c r="A64" s="38" t="s">
        <v>343</v>
      </c>
      <c r="B64" s="38" t="s">
        <v>343</v>
      </c>
      <c r="C64" s="38" t="s">
        <v>344</v>
      </c>
      <c r="D64" s="38"/>
      <c r="F64" t="str">
        <f t="shared" si="0"/>
        <v>Same</v>
      </c>
    </row>
    <row r="65" spans="1:6" x14ac:dyDescent="0.25">
      <c r="A65" s="38" t="s">
        <v>345</v>
      </c>
      <c r="B65" s="38" t="s">
        <v>345</v>
      </c>
      <c r="C65" s="38" t="s">
        <v>346</v>
      </c>
      <c r="D65" s="38"/>
      <c r="F65" t="str">
        <f t="shared" si="0"/>
        <v>Same</v>
      </c>
    </row>
    <row r="66" spans="1:6" x14ac:dyDescent="0.25">
      <c r="A66" s="38" t="s">
        <v>347</v>
      </c>
      <c r="B66" s="38" t="s">
        <v>347</v>
      </c>
      <c r="C66" s="38" t="s">
        <v>101</v>
      </c>
      <c r="D66" s="38"/>
      <c r="F66" t="str">
        <f t="shared" si="0"/>
        <v>Same</v>
      </c>
    </row>
    <row r="67" spans="1:6" x14ac:dyDescent="0.25">
      <c r="A67" s="38" t="s">
        <v>348</v>
      </c>
      <c r="B67" s="38" t="s">
        <v>348</v>
      </c>
      <c r="C67" s="38" t="s">
        <v>115</v>
      </c>
      <c r="D67" s="38"/>
      <c r="F67" t="str">
        <f t="shared" ref="F67:F130" si="1">IF(A67&lt;&gt;B67,"Different","Same")</f>
        <v>Same</v>
      </c>
    </row>
    <row r="68" spans="1:6" x14ac:dyDescent="0.25">
      <c r="A68" s="38" t="s">
        <v>349</v>
      </c>
      <c r="B68" s="38" t="s">
        <v>350</v>
      </c>
      <c r="C68" s="38" t="s">
        <v>4</v>
      </c>
      <c r="D68" s="38" t="s">
        <v>351</v>
      </c>
      <c r="F68" t="str">
        <f t="shared" si="1"/>
        <v>Different</v>
      </c>
    </row>
    <row r="69" spans="1:6" x14ac:dyDescent="0.25">
      <c r="A69" s="38" t="s">
        <v>352</v>
      </c>
      <c r="B69" s="38" t="s">
        <v>352</v>
      </c>
      <c r="C69" s="38" t="s">
        <v>73</v>
      </c>
      <c r="D69" s="38"/>
      <c r="F69" t="str">
        <f t="shared" si="1"/>
        <v>Same</v>
      </c>
    </row>
    <row r="70" spans="1:6" x14ac:dyDescent="0.25">
      <c r="A70" s="38" t="s">
        <v>353</v>
      </c>
      <c r="B70" s="38" t="s">
        <v>353</v>
      </c>
      <c r="C70" s="38" t="s">
        <v>110</v>
      </c>
      <c r="D70" s="38"/>
      <c r="F70" t="str">
        <f t="shared" si="1"/>
        <v>Same</v>
      </c>
    </row>
    <row r="71" spans="1:6" x14ac:dyDescent="0.25">
      <c r="A71" s="38" t="s">
        <v>354</v>
      </c>
      <c r="B71" s="38" t="s">
        <v>354</v>
      </c>
      <c r="C71" s="38" t="s">
        <v>82</v>
      </c>
      <c r="D71" s="38"/>
      <c r="F71" t="str">
        <f t="shared" si="1"/>
        <v>Same</v>
      </c>
    </row>
    <row r="72" spans="1:6" x14ac:dyDescent="0.25">
      <c r="A72" s="38" t="s">
        <v>355</v>
      </c>
      <c r="B72" s="38" t="s">
        <v>355</v>
      </c>
      <c r="C72" s="38" t="s">
        <v>222</v>
      </c>
      <c r="D72" s="38"/>
      <c r="F72" t="str">
        <f t="shared" si="1"/>
        <v>Same</v>
      </c>
    </row>
    <row r="73" spans="1:6" ht="30" x14ac:dyDescent="0.25">
      <c r="A73" s="38" t="s">
        <v>356</v>
      </c>
      <c r="B73" s="38" t="s">
        <v>356</v>
      </c>
      <c r="C73" s="38" t="s">
        <v>186</v>
      </c>
      <c r="D73" s="38"/>
      <c r="F73" t="str">
        <f t="shared" si="1"/>
        <v>Same</v>
      </c>
    </row>
    <row r="74" spans="1:6" x14ac:dyDescent="0.25">
      <c r="A74" s="38" t="s">
        <v>357</v>
      </c>
      <c r="B74" s="38" t="s">
        <v>357</v>
      </c>
      <c r="C74" s="38" t="s">
        <v>139</v>
      </c>
      <c r="D74" s="38"/>
      <c r="F74" t="str">
        <f t="shared" si="1"/>
        <v>Same</v>
      </c>
    </row>
    <row r="75" spans="1:6" x14ac:dyDescent="0.25">
      <c r="A75" s="38" t="s">
        <v>358</v>
      </c>
      <c r="B75" s="38" t="s">
        <v>358</v>
      </c>
      <c r="C75" s="38" t="s">
        <v>119</v>
      </c>
      <c r="D75" s="38"/>
      <c r="F75" t="str">
        <f t="shared" si="1"/>
        <v>Same</v>
      </c>
    </row>
    <row r="76" spans="1:6" x14ac:dyDescent="0.25">
      <c r="A76" s="38" t="s">
        <v>359</v>
      </c>
      <c r="B76" s="38" t="s">
        <v>359</v>
      </c>
      <c r="C76" s="38" t="s">
        <v>360</v>
      </c>
      <c r="D76" s="38"/>
      <c r="F76" t="str">
        <f t="shared" si="1"/>
        <v>Same</v>
      </c>
    </row>
    <row r="77" spans="1:6" x14ac:dyDescent="0.25">
      <c r="A77" s="38" t="s">
        <v>361</v>
      </c>
      <c r="B77" s="38" t="s">
        <v>361</v>
      </c>
      <c r="C77" s="38" t="s">
        <v>112</v>
      </c>
      <c r="D77" s="38"/>
      <c r="F77" t="str">
        <f t="shared" si="1"/>
        <v>Same</v>
      </c>
    </row>
    <row r="78" spans="1:6" x14ac:dyDescent="0.25">
      <c r="A78" s="38" t="s">
        <v>362</v>
      </c>
      <c r="B78" s="38" t="s">
        <v>362</v>
      </c>
      <c r="C78" s="38" t="s">
        <v>176</v>
      </c>
      <c r="D78" s="38"/>
      <c r="F78" t="str">
        <f t="shared" si="1"/>
        <v>Same</v>
      </c>
    </row>
    <row r="79" spans="1:6" x14ac:dyDescent="0.25">
      <c r="A79" s="38" t="s">
        <v>363</v>
      </c>
      <c r="B79" s="38" t="s">
        <v>363</v>
      </c>
      <c r="C79" s="38" t="s">
        <v>172</v>
      </c>
      <c r="D79" s="38"/>
      <c r="F79" t="str">
        <f t="shared" si="1"/>
        <v>Same</v>
      </c>
    </row>
    <row r="80" spans="1:6" x14ac:dyDescent="0.25">
      <c r="A80" s="38" t="s">
        <v>364</v>
      </c>
      <c r="B80" s="38" t="s">
        <v>364</v>
      </c>
      <c r="C80" s="38" t="s">
        <v>183</v>
      </c>
      <c r="D80" s="38"/>
      <c r="F80" t="str">
        <f t="shared" si="1"/>
        <v>Same</v>
      </c>
    </row>
    <row r="81" spans="1:6" x14ac:dyDescent="0.25">
      <c r="A81" s="38" t="s">
        <v>365</v>
      </c>
      <c r="B81" s="38" t="s">
        <v>365</v>
      </c>
      <c r="C81" s="38" t="s">
        <v>142</v>
      </c>
      <c r="D81" s="38"/>
      <c r="F81" t="str">
        <f t="shared" si="1"/>
        <v>Same</v>
      </c>
    </row>
    <row r="82" spans="1:6" x14ac:dyDescent="0.25">
      <c r="A82" s="38" t="s">
        <v>366</v>
      </c>
      <c r="B82" s="38" t="s">
        <v>366</v>
      </c>
      <c r="C82" s="38" t="s">
        <v>128</v>
      </c>
      <c r="D82" s="38"/>
      <c r="F82" t="str">
        <f t="shared" si="1"/>
        <v>Same</v>
      </c>
    </row>
    <row r="83" spans="1:6" x14ac:dyDescent="0.25">
      <c r="A83" s="38" t="s">
        <v>367</v>
      </c>
      <c r="B83" s="38" t="s">
        <v>368</v>
      </c>
      <c r="C83" s="38" t="s">
        <v>18</v>
      </c>
      <c r="D83" s="38" t="s">
        <v>369</v>
      </c>
      <c r="F83" t="str">
        <f t="shared" si="1"/>
        <v>Different</v>
      </c>
    </row>
    <row r="84" spans="1:6" x14ac:dyDescent="0.25">
      <c r="A84" s="38" t="s">
        <v>370</v>
      </c>
      <c r="B84" s="38" t="s">
        <v>371</v>
      </c>
      <c r="C84" s="38" t="s">
        <v>28</v>
      </c>
      <c r="D84" s="38" t="s">
        <v>372</v>
      </c>
      <c r="F84" t="str">
        <f t="shared" si="1"/>
        <v>Different</v>
      </c>
    </row>
    <row r="85" spans="1:6" x14ac:dyDescent="0.25">
      <c r="A85" s="38" t="s">
        <v>373</v>
      </c>
      <c r="B85" s="38" t="s">
        <v>373</v>
      </c>
      <c r="C85" s="38" t="s">
        <v>9</v>
      </c>
      <c r="D85" s="38" t="s">
        <v>374</v>
      </c>
      <c r="F85" t="str">
        <f t="shared" si="1"/>
        <v>Same</v>
      </c>
    </row>
    <row r="86" spans="1:6" x14ac:dyDescent="0.25">
      <c r="A86" s="38" t="s">
        <v>375</v>
      </c>
      <c r="B86" s="38" t="s">
        <v>375</v>
      </c>
      <c r="C86" s="38" t="s">
        <v>57</v>
      </c>
      <c r="D86" s="38"/>
      <c r="F86" t="str">
        <f t="shared" si="1"/>
        <v>Same</v>
      </c>
    </row>
    <row r="87" spans="1:6" x14ac:dyDescent="0.25">
      <c r="A87" s="38" t="s">
        <v>376</v>
      </c>
      <c r="B87" s="38" t="s">
        <v>376</v>
      </c>
      <c r="C87" s="38" t="s">
        <v>53</v>
      </c>
      <c r="D87" s="38"/>
      <c r="F87" t="str">
        <f t="shared" si="1"/>
        <v>Same</v>
      </c>
    </row>
    <row r="88" spans="1:6" x14ac:dyDescent="0.25">
      <c r="A88" s="38" t="s">
        <v>377</v>
      </c>
      <c r="B88" s="38" t="s">
        <v>377</v>
      </c>
      <c r="C88" s="38" t="s">
        <v>49</v>
      </c>
      <c r="D88" s="38"/>
      <c r="F88" t="str">
        <f t="shared" si="1"/>
        <v>Same</v>
      </c>
    </row>
    <row r="89" spans="1:6" x14ac:dyDescent="0.25">
      <c r="A89" s="38" t="s">
        <v>378</v>
      </c>
      <c r="B89" s="38" t="s">
        <v>378</v>
      </c>
      <c r="C89" s="38" t="s">
        <v>47</v>
      </c>
      <c r="D89" s="38"/>
      <c r="F89" t="str">
        <f t="shared" si="1"/>
        <v>Same</v>
      </c>
    </row>
    <row r="90" spans="1:6" x14ac:dyDescent="0.25">
      <c r="A90" s="38" t="s">
        <v>379</v>
      </c>
      <c r="B90" s="38" t="s">
        <v>379</v>
      </c>
      <c r="C90" s="38" t="s">
        <v>43</v>
      </c>
      <c r="D90" s="38"/>
      <c r="F90" t="str">
        <f t="shared" si="1"/>
        <v>Same</v>
      </c>
    </row>
    <row r="91" spans="1:6" x14ac:dyDescent="0.25">
      <c r="A91" s="38" t="s">
        <v>380</v>
      </c>
      <c r="B91" s="38" t="s">
        <v>380</v>
      </c>
      <c r="C91" s="38" t="s">
        <v>37</v>
      </c>
      <c r="D91" s="38"/>
      <c r="F91" t="str">
        <f t="shared" si="1"/>
        <v>Same</v>
      </c>
    </row>
    <row r="92" spans="1:6" x14ac:dyDescent="0.25">
      <c r="A92" s="38" t="s">
        <v>381</v>
      </c>
      <c r="B92" s="38" t="s">
        <v>381</v>
      </c>
      <c r="C92" s="38" t="s">
        <v>35</v>
      </c>
      <c r="D92" s="38"/>
      <c r="F92" t="str">
        <f t="shared" si="1"/>
        <v>Same</v>
      </c>
    </row>
    <row r="93" spans="1:6" x14ac:dyDescent="0.25">
      <c r="A93" s="38" t="s">
        <v>382</v>
      </c>
      <c r="B93" s="38" t="s">
        <v>382</v>
      </c>
      <c r="C93" s="38" t="s">
        <v>29</v>
      </c>
      <c r="D93" s="38"/>
      <c r="F93" t="str">
        <f t="shared" si="1"/>
        <v>Same</v>
      </c>
    </row>
    <row r="94" spans="1:6" x14ac:dyDescent="0.25">
      <c r="A94" s="38" t="s">
        <v>383</v>
      </c>
      <c r="B94" s="38" t="s">
        <v>383</v>
      </c>
      <c r="C94" s="38" t="s">
        <v>22</v>
      </c>
      <c r="D94" s="38"/>
      <c r="F94" t="str">
        <f t="shared" si="1"/>
        <v>Same</v>
      </c>
    </row>
    <row r="95" spans="1:6" x14ac:dyDescent="0.25">
      <c r="A95" s="38" t="s">
        <v>384</v>
      </c>
      <c r="B95" s="38" t="s">
        <v>384</v>
      </c>
      <c r="C95" s="38" t="s">
        <v>17</v>
      </c>
      <c r="D95" s="38"/>
      <c r="F95" t="str">
        <f t="shared" si="1"/>
        <v>Same</v>
      </c>
    </row>
    <row r="96" spans="1:6" x14ac:dyDescent="0.25">
      <c r="A96" s="38" t="s">
        <v>385</v>
      </c>
      <c r="B96" s="38" t="s">
        <v>385</v>
      </c>
      <c r="C96" s="38" t="s">
        <v>182</v>
      </c>
      <c r="D96" s="38"/>
      <c r="F96" t="str">
        <f t="shared" si="1"/>
        <v>Same</v>
      </c>
    </row>
    <row r="97" spans="1:6" x14ac:dyDescent="0.25">
      <c r="A97" s="38" t="s">
        <v>386</v>
      </c>
      <c r="B97" s="38" t="s">
        <v>386</v>
      </c>
      <c r="C97" s="38" t="s">
        <v>169</v>
      </c>
      <c r="D97" s="38"/>
      <c r="F97" t="str">
        <f t="shared" si="1"/>
        <v>Same</v>
      </c>
    </row>
    <row r="98" spans="1:6" x14ac:dyDescent="0.25">
      <c r="A98" s="38" t="s">
        <v>387</v>
      </c>
      <c r="B98" s="38" t="s">
        <v>387</v>
      </c>
      <c r="C98" s="38" t="s">
        <v>174</v>
      </c>
      <c r="D98" s="38"/>
      <c r="F98" t="str">
        <f t="shared" si="1"/>
        <v>Same</v>
      </c>
    </row>
    <row r="99" spans="1:6" x14ac:dyDescent="0.25">
      <c r="A99" s="38" t="s">
        <v>388</v>
      </c>
      <c r="B99" s="38" t="s">
        <v>388</v>
      </c>
      <c r="C99" s="38" t="s">
        <v>95</v>
      </c>
      <c r="D99" s="38"/>
      <c r="F99" t="str">
        <f t="shared" si="1"/>
        <v>Same</v>
      </c>
    </row>
    <row r="100" spans="1:6" x14ac:dyDescent="0.25">
      <c r="A100" s="38" t="s">
        <v>389</v>
      </c>
      <c r="B100" s="38" t="s">
        <v>389</v>
      </c>
      <c r="C100" s="38" t="s">
        <v>121</v>
      </c>
      <c r="D100" s="38"/>
      <c r="F100" t="str">
        <f t="shared" si="1"/>
        <v>Same</v>
      </c>
    </row>
    <row r="101" spans="1:6" x14ac:dyDescent="0.25">
      <c r="A101" s="38" t="s">
        <v>390</v>
      </c>
      <c r="B101" s="38" t="s">
        <v>390</v>
      </c>
      <c r="C101" s="38" t="s">
        <v>220</v>
      </c>
      <c r="D101" s="38"/>
      <c r="F101" t="str">
        <f t="shared" si="1"/>
        <v>Same</v>
      </c>
    </row>
    <row r="102" spans="1:6" x14ac:dyDescent="0.25">
      <c r="A102" s="38" t="s">
        <v>391</v>
      </c>
      <c r="B102" s="38" t="s">
        <v>392</v>
      </c>
      <c r="C102" s="38" t="s">
        <v>19</v>
      </c>
      <c r="D102" s="38" t="s">
        <v>393</v>
      </c>
      <c r="F102" t="str">
        <f t="shared" si="1"/>
        <v>Different</v>
      </c>
    </row>
    <row r="103" spans="1:6" x14ac:dyDescent="0.25">
      <c r="A103" s="38" t="s">
        <v>394</v>
      </c>
      <c r="B103" s="38" t="s">
        <v>394</v>
      </c>
      <c r="C103" s="38" t="s">
        <v>207</v>
      </c>
      <c r="D103" s="38"/>
      <c r="F103" t="str">
        <f t="shared" si="1"/>
        <v>Same</v>
      </c>
    </row>
    <row r="104" spans="1:6" x14ac:dyDescent="0.25">
      <c r="A104" s="38" t="s">
        <v>395</v>
      </c>
      <c r="B104" s="38" t="s">
        <v>395</v>
      </c>
      <c r="C104" s="38" t="s">
        <v>98</v>
      </c>
      <c r="D104" s="38"/>
      <c r="F104" t="str">
        <f t="shared" si="1"/>
        <v>Same</v>
      </c>
    </row>
    <row r="105" spans="1:6" x14ac:dyDescent="0.25">
      <c r="A105" s="38" t="s">
        <v>396</v>
      </c>
      <c r="B105" s="38" t="s">
        <v>396</v>
      </c>
      <c r="C105" s="38" t="s">
        <v>223</v>
      </c>
      <c r="D105" s="38"/>
      <c r="F105" t="str">
        <f t="shared" si="1"/>
        <v>Same</v>
      </c>
    </row>
    <row r="106" spans="1:6" x14ac:dyDescent="0.25">
      <c r="A106" s="38" t="s">
        <v>397</v>
      </c>
      <c r="B106" s="38" t="s">
        <v>398</v>
      </c>
      <c r="C106" s="38" t="s">
        <v>27</v>
      </c>
      <c r="D106" s="38" t="s">
        <v>399</v>
      </c>
      <c r="F106" t="str">
        <f t="shared" si="1"/>
        <v>Different</v>
      </c>
    </row>
    <row r="107" spans="1:6" x14ac:dyDescent="0.25">
      <c r="A107" s="38" t="s">
        <v>400</v>
      </c>
      <c r="B107" s="38" t="s">
        <v>400</v>
      </c>
      <c r="C107" s="38" t="s">
        <v>219</v>
      </c>
      <c r="D107" s="38"/>
      <c r="F107" t="str">
        <f t="shared" si="1"/>
        <v>Same</v>
      </c>
    </row>
    <row r="108" spans="1:6" x14ac:dyDescent="0.25">
      <c r="A108" s="38" t="s">
        <v>401</v>
      </c>
      <c r="B108" s="38" t="s">
        <v>401</v>
      </c>
      <c r="C108" s="38" t="s">
        <v>146</v>
      </c>
      <c r="D108" s="38"/>
      <c r="F108" t="str">
        <f t="shared" si="1"/>
        <v>Same</v>
      </c>
    </row>
    <row r="109" spans="1:6" x14ac:dyDescent="0.25">
      <c r="A109" s="38" t="s">
        <v>402</v>
      </c>
      <c r="B109" s="38" t="s">
        <v>402</v>
      </c>
      <c r="C109" s="38" t="s">
        <v>175</v>
      </c>
      <c r="D109" s="38"/>
      <c r="F109" t="str">
        <f t="shared" si="1"/>
        <v>Same</v>
      </c>
    </row>
    <row r="110" spans="1:6" x14ac:dyDescent="0.25">
      <c r="A110" s="38" t="s">
        <v>403</v>
      </c>
      <c r="B110" s="38" t="s">
        <v>403</v>
      </c>
      <c r="C110" s="38" t="s">
        <v>147</v>
      </c>
      <c r="D110" s="38"/>
      <c r="F110" t="str">
        <f t="shared" si="1"/>
        <v>Same</v>
      </c>
    </row>
    <row r="111" spans="1:6" x14ac:dyDescent="0.25">
      <c r="A111" s="38" t="s">
        <v>404</v>
      </c>
      <c r="B111" s="38" t="s">
        <v>405</v>
      </c>
      <c r="C111" s="38" t="s">
        <v>72</v>
      </c>
      <c r="D111" s="38" t="s">
        <v>406</v>
      </c>
      <c r="F111" t="str">
        <f t="shared" si="1"/>
        <v>Different</v>
      </c>
    </row>
    <row r="112" spans="1:6" x14ac:dyDescent="0.25">
      <c r="A112" s="38" t="s">
        <v>407</v>
      </c>
      <c r="B112" s="38" t="s">
        <v>408</v>
      </c>
      <c r="C112" s="38" t="s">
        <v>75</v>
      </c>
      <c r="D112" s="38" t="s">
        <v>409</v>
      </c>
      <c r="F112" t="str">
        <f t="shared" si="1"/>
        <v>Different</v>
      </c>
    </row>
    <row r="113" spans="1:6" x14ac:dyDescent="0.25">
      <c r="A113" s="38" t="s">
        <v>410</v>
      </c>
      <c r="B113" s="38" t="s">
        <v>410</v>
      </c>
      <c r="C113" s="38" t="s">
        <v>83</v>
      </c>
      <c r="D113" s="38"/>
      <c r="F113" t="str">
        <f t="shared" si="1"/>
        <v>Same</v>
      </c>
    </row>
    <row r="114" spans="1:6" x14ac:dyDescent="0.25">
      <c r="A114" s="38" t="s">
        <v>411</v>
      </c>
      <c r="B114" s="38" t="s">
        <v>411</v>
      </c>
      <c r="C114" s="38" t="s">
        <v>66</v>
      </c>
      <c r="D114" s="38"/>
      <c r="F114" t="str">
        <f t="shared" si="1"/>
        <v>Same</v>
      </c>
    </row>
    <row r="115" spans="1:6" x14ac:dyDescent="0.25">
      <c r="A115" s="38" t="s">
        <v>412</v>
      </c>
      <c r="B115" s="38" t="s">
        <v>412</v>
      </c>
      <c r="C115" s="38" t="s">
        <v>79</v>
      </c>
      <c r="D115" s="38"/>
      <c r="F115" t="str">
        <f t="shared" si="1"/>
        <v>Same</v>
      </c>
    </row>
    <row r="116" spans="1:6" x14ac:dyDescent="0.25">
      <c r="A116" s="38" t="s">
        <v>413</v>
      </c>
      <c r="B116" s="38" t="s">
        <v>413</v>
      </c>
      <c r="C116" s="38" t="s">
        <v>414</v>
      </c>
      <c r="D116" s="38"/>
      <c r="F116" t="str">
        <f t="shared" si="1"/>
        <v>Same</v>
      </c>
    </row>
    <row r="117" spans="1:6" x14ac:dyDescent="0.25">
      <c r="A117" s="38" t="s">
        <v>415</v>
      </c>
      <c r="B117" s="38" t="s">
        <v>415</v>
      </c>
      <c r="C117" s="38" t="s">
        <v>414</v>
      </c>
      <c r="D117" s="38"/>
      <c r="F117" t="str">
        <f t="shared" si="1"/>
        <v>Same</v>
      </c>
    </row>
    <row r="118" spans="1:6" x14ac:dyDescent="0.25">
      <c r="A118" s="38" t="s">
        <v>416</v>
      </c>
      <c r="B118" s="38" t="s">
        <v>416</v>
      </c>
      <c r="C118" s="38" t="s">
        <v>237</v>
      </c>
      <c r="D118" s="38"/>
      <c r="F118" t="str">
        <f t="shared" si="1"/>
        <v>Same</v>
      </c>
    </row>
    <row r="119" spans="1:6" x14ac:dyDescent="0.25">
      <c r="A119" s="38" t="s">
        <v>417</v>
      </c>
      <c r="B119" s="38" t="s">
        <v>417</v>
      </c>
      <c r="C119" s="38" t="s">
        <v>230</v>
      </c>
      <c r="D119" s="38"/>
      <c r="F119" t="str">
        <f t="shared" si="1"/>
        <v>Same</v>
      </c>
    </row>
    <row r="120" spans="1:6" x14ac:dyDescent="0.25">
      <c r="A120" s="38" t="s">
        <v>418</v>
      </c>
      <c r="B120" s="38" t="s">
        <v>419</v>
      </c>
      <c r="C120" s="38" t="s">
        <v>20</v>
      </c>
      <c r="D120" s="38" t="s">
        <v>420</v>
      </c>
      <c r="F120" t="str">
        <f t="shared" si="1"/>
        <v>Different</v>
      </c>
    </row>
    <row r="121" spans="1:6" x14ac:dyDescent="0.25">
      <c r="A121" s="38" t="s">
        <v>421</v>
      </c>
      <c r="B121" s="38" t="s">
        <v>421</v>
      </c>
      <c r="C121" s="38" t="s">
        <v>422</v>
      </c>
      <c r="D121" s="38"/>
      <c r="F121" t="str">
        <f t="shared" si="1"/>
        <v>Same</v>
      </c>
    </row>
    <row r="122" spans="1:6" x14ac:dyDescent="0.25">
      <c r="A122" s="38" t="s">
        <v>423</v>
      </c>
      <c r="B122" s="38" t="s">
        <v>423</v>
      </c>
      <c r="C122" s="38" t="s">
        <v>34</v>
      </c>
      <c r="D122" s="38"/>
      <c r="F122" t="str">
        <f t="shared" si="1"/>
        <v>Same</v>
      </c>
    </row>
    <row r="123" spans="1:6" x14ac:dyDescent="0.25">
      <c r="A123" s="38" t="s">
        <v>424</v>
      </c>
      <c r="B123" s="38" t="s">
        <v>424</v>
      </c>
      <c r="C123" s="38" t="s">
        <v>425</v>
      </c>
      <c r="D123" s="38"/>
      <c r="F123" t="str">
        <f t="shared" si="1"/>
        <v>Same</v>
      </c>
    </row>
    <row r="124" spans="1:6" x14ac:dyDescent="0.25">
      <c r="A124" s="38" t="s">
        <v>426</v>
      </c>
      <c r="B124" s="38" t="s">
        <v>426</v>
      </c>
      <c r="C124" s="38" t="s">
        <v>13</v>
      </c>
      <c r="D124" s="38"/>
      <c r="F124" t="str">
        <f t="shared" si="1"/>
        <v>Same</v>
      </c>
    </row>
    <row r="125" spans="1:6" x14ac:dyDescent="0.25">
      <c r="A125" s="38" t="s">
        <v>427</v>
      </c>
      <c r="B125" s="38" t="s">
        <v>427</v>
      </c>
      <c r="C125" s="38" t="s">
        <v>428</v>
      </c>
      <c r="D125" s="38"/>
      <c r="F125" t="str">
        <f t="shared" si="1"/>
        <v>Same</v>
      </c>
    </row>
    <row r="126" spans="1:6" x14ac:dyDescent="0.25">
      <c r="A126" s="38" t="s">
        <v>429</v>
      </c>
      <c r="B126" s="38" t="s">
        <v>429</v>
      </c>
      <c r="C126" s="38" t="s">
        <v>430</v>
      </c>
      <c r="D126" s="38"/>
      <c r="F126" t="str">
        <f t="shared" si="1"/>
        <v>Same</v>
      </c>
    </row>
    <row r="127" spans="1:6" x14ac:dyDescent="0.25">
      <c r="A127" s="38" t="s">
        <v>431</v>
      </c>
      <c r="B127" s="38" t="s">
        <v>431</v>
      </c>
      <c r="C127" s="38" t="s">
        <v>432</v>
      </c>
      <c r="D127" s="38"/>
      <c r="F127" t="str">
        <f t="shared" si="1"/>
        <v>Same</v>
      </c>
    </row>
    <row r="128" spans="1:6" x14ac:dyDescent="0.25">
      <c r="A128" s="38" t="s">
        <v>433</v>
      </c>
      <c r="B128" s="38" t="s">
        <v>433</v>
      </c>
      <c r="C128" s="38" t="s">
        <v>32</v>
      </c>
      <c r="D128" s="38"/>
      <c r="F128" t="str">
        <f t="shared" si="1"/>
        <v>Same</v>
      </c>
    </row>
    <row r="129" spans="1:6" x14ac:dyDescent="0.25">
      <c r="A129" s="38" t="s">
        <v>434</v>
      </c>
      <c r="B129" s="38" t="s">
        <v>434</v>
      </c>
      <c r="C129" s="38" t="s">
        <v>55</v>
      </c>
      <c r="D129" s="38"/>
      <c r="F129" t="str">
        <f t="shared" si="1"/>
        <v>Same</v>
      </c>
    </row>
    <row r="130" spans="1:6" x14ac:dyDescent="0.25">
      <c r="A130" s="38" t="s">
        <v>435</v>
      </c>
      <c r="B130" s="38" t="s">
        <v>435</v>
      </c>
      <c r="C130" s="38" t="s">
        <v>56</v>
      </c>
      <c r="D130" s="38"/>
      <c r="F130" t="str">
        <f t="shared" si="1"/>
        <v>Same</v>
      </c>
    </row>
    <row r="131" spans="1:6" x14ac:dyDescent="0.25">
      <c r="A131" s="38" t="s">
        <v>436</v>
      </c>
      <c r="B131" s="38" t="s">
        <v>436</v>
      </c>
      <c r="C131" s="38" t="s">
        <v>437</v>
      </c>
      <c r="D131" s="38"/>
      <c r="F131" t="str">
        <f t="shared" ref="F131:F194" si="2">IF(A131&lt;&gt;B131,"Different","Same")</f>
        <v>Same</v>
      </c>
    </row>
    <row r="132" spans="1:6" x14ac:dyDescent="0.25">
      <c r="A132" s="38" t="s">
        <v>438</v>
      </c>
      <c r="B132" s="38" t="s">
        <v>438</v>
      </c>
      <c r="C132" s="38" t="s">
        <v>439</v>
      </c>
      <c r="D132" s="38"/>
      <c r="F132" t="str">
        <f t="shared" si="2"/>
        <v>Same</v>
      </c>
    </row>
    <row r="133" spans="1:6" x14ac:dyDescent="0.25">
      <c r="A133" s="38" t="s">
        <v>440</v>
      </c>
      <c r="B133" s="38" t="s">
        <v>440</v>
      </c>
      <c r="C133" s="38" t="s">
        <v>193</v>
      </c>
      <c r="D133" s="38"/>
      <c r="F133" t="str">
        <f t="shared" si="2"/>
        <v>Same</v>
      </c>
    </row>
    <row r="134" spans="1:6" x14ac:dyDescent="0.25">
      <c r="A134" s="38" t="s">
        <v>441</v>
      </c>
      <c r="B134" s="38" t="s">
        <v>441</v>
      </c>
      <c r="C134" s="38" t="s">
        <v>26</v>
      </c>
      <c r="D134" s="38"/>
      <c r="F134" t="str">
        <f t="shared" si="2"/>
        <v>Same</v>
      </c>
    </row>
    <row r="135" spans="1:6" x14ac:dyDescent="0.25">
      <c r="A135" s="38" t="s">
        <v>442</v>
      </c>
      <c r="B135" s="38" t="s">
        <v>443</v>
      </c>
      <c r="C135" s="38" t="s">
        <v>8</v>
      </c>
      <c r="D135" s="38" t="s">
        <v>444</v>
      </c>
      <c r="F135" t="str">
        <f t="shared" si="2"/>
        <v>Different</v>
      </c>
    </row>
    <row r="136" spans="1:6" ht="30" x14ac:dyDescent="0.25">
      <c r="A136" s="38" t="s">
        <v>445</v>
      </c>
      <c r="B136" s="38" t="s">
        <v>445</v>
      </c>
      <c r="C136" s="38" t="s">
        <v>171</v>
      </c>
      <c r="D136" s="38"/>
      <c r="F136" t="str">
        <f t="shared" si="2"/>
        <v>Same</v>
      </c>
    </row>
    <row r="137" spans="1:6" x14ac:dyDescent="0.25">
      <c r="A137" s="38" t="s">
        <v>446</v>
      </c>
      <c r="B137" s="38" t="s">
        <v>446</v>
      </c>
      <c r="C137" s="38" t="s">
        <v>153</v>
      </c>
      <c r="D137" s="38"/>
      <c r="F137" t="str">
        <f t="shared" si="2"/>
        <v>Same</v>
      </c>
    </row>
    <row r="138" spans="1:6" ht="90" x14ac:dyDescent="0.25">
      <c r="A138" s="38" t="s">
        <v>447</v>
      </c>
      <c r="B138" s="38" t="s">
        <v>447</v>
      </c>
      <c r="C138" s="38"/>
      <c r="D138" s="38" t="s">
        <v>315</v>
      </c>
      <c r="F138" t="str">
        <f t="shared" si="2"/>
        <v>Same</v>
      </c>
    </row>
    <row r="139" spans="1:6" x14ac:dyDescent="0.25">
      <c r="A139" s="38" t="s">
        <v>448</v>
      </c>
      <c r="B139" s="38" t="s">
        <v>448</v>
      </c>
      <c r="C139" s="38" t="s">
        <v>118</v>
      </c>
      <c r="D139" s="38"/>
      <c r="F139" t="str">
        <f t="shared" si="2"/>
        <v>Same</v>
      </c>
    </row>
    <row r="140" spans="1:6" x14ac:dyDescent="0.25">
      <c r="A140" s="38" t="s">
        <v>449</v>
      </c>
      <c r="B140" s="38" t="s">
        <v>449</v>
      </c>
      <c r="C140" s="38" t="s">
        <v>138</v>
      </c>
      <c r="D140" s="38"/>
      <c r="F140" t="str">
        <f t="shared" si="2"/>
        <v>Same</v>
      </c>
    </row>
    <row r="141" spans="1:6" x14ac:dyDescent="0.25">
      <c r="A141" s="38" t="s">
        <v>450</v>
      </c>
      <c r="B141" s="38" t="s">
        <v>450</v>
      </c>
      <c r="C141" s="38" t="s">
        <v>87</v>
      </c>
      <c r="D141" s="38"/>
      <c r="F141" t="str">
        <f t="shared" si="2"/>
        <v>Same</v>
      </c>
    </row>
    <row r="142" spans="1:6" x14ac:dyDescent="0.25">
      <c r="A142" s="38" t="s">
        <v>451</v>
      </c>
      <c r="B142" s="38" t="s">
        <v>452</v>
      </c>
      <c r="C142" s="38" t="s">
        <v>77</v>
      </c>
      <c r="D142" s="38" t="s">
        <v>453</v>
      </c>
      <c r="F142" t="str">
        <f t="shared" si="2"/>
        <v>Different</v>
      </c>
    </row>
    <row r="143" spans="1:6" x14ac:dyDescent="0.25">
      <c r="A143" s="38" t="s">
        <v>454</v>
      </c>
      <c r="B143" s="38" t="s">
        <v>454</v>
      </c>
      <c r="C143" s="38" t="s">
        <v>105</v>
      </c>
      <c r="D143" s="38"/>
      <c r="F143" t="str">
        <f t="shared" si="2"/>
        <v>Same</v>
      </c>
    </row>
    <row r="144" spans="1:6" x14ac:dyDescent="0.25">
      <c r="A144" s="38" t="s">
        <v>455</v>
      </c>
      <c r="B144" s="38" t="s">
        <v>455</v>
      </c>
      <c r="C144" s="38" t="s">
        <v>234</v>
      </c>
      <c r="D144" s="38"/>
      <c r="F144" t="str">
        <f t="shared" si="2"/>
        <v>Same</v>
      </c>
    </row>
    <row r="145" spans="1:6" x14ac:dyDescent="0.25">
      <c r="A145" s="38" t="s">
        <v>456</v>
      </c>
      <c r="B145" s="38" t="s">
        <v>456</v>
      </c>
      <c r="C145" s="38" t="s">
        <v>84</v>
      </c>
      <c r="D145" s="38"/>
      <c r="F145" t="str">
        <f t="shared" si="2"/>
        <v>Same</v>
      </c>
    </row>
    <row r="146" spans="1:6" x14ac:dyDescent="0.25">
      <c r="A146" s="38" t="s">
        <v>457</v>
      </c>
      <c r="B146" s="38" t="s">
        <v>457</v>
      </c>
      <c r="C146" s="38" t="s">
        <v>148</v>
      </c>
      <c r="D146" s="38"/>
      <c r="F146" t="str">
        <f t="shared" si="2"/>
        <v>Same</v>
      </c>
    </row>
    <row r="147" spans="1:6" ht="30" x14ac:dyDescent="0.25">
      <c r="A147" s="38" t="s">
        <v>458</v>
      </c>
      <c r="B147" s="38" t="s">
        <v>458</v>
      </c>
      <c r="C147" s="38" t="s">
        <v>163</v>
      </c>
      <c r="D147" s="38"/>
      <c r="F147" t="str">
        <f t="shared" si="2"/>
        <v>Same</v>
      </c>
    </row>
    <row r="148" spans="1:6" x14ac:dyDescent="0.25">
      <c r="A148" s="38" t="s">
        <v>459</v>
      </c>
      <c r="B148" s="38" t="s">
        <v>459</v>
      </c>
      <c r="C148" s="38" t="s">
        <v>134</v>
      </c>
      <c r="D148" s="38"/>
      <c r="F148" t="str">
        <f t="shared" si="2"/>
        <v>Same</v>
      </c>
    </row>
    <row r="149" spans="1:6" ht="45" x14ac:dyDescent="0.25">
      <c r="A149" s="38" t="s">
        <v>460</v>
      </c>
      <c r="B149" s="38" t="s">
        <v>460</v>
      </c>
      <c r="C149" s="38" t="s">
        <v>143</v>
      </c>
      <c r="D149" s="38"/>
      <c r="F149" t="str">
        <f t="shared" si="2"/>
        <v>Same</v>
      </c>
    </row>
    <row r="150" spans="1:6" x14ac:dyDescent="0.25">
      <c r="A150" s="38" t="s">
        <v>461</v>
      </c>
      <c r="B150" s="38" t="s">
        <v>461</v>
      </c>
      <c r="C150" s="38" t="s">
        <v>157</v>
      </c>
      <c r="D150" s="38"/>
      <c r="F150" t="str">
        <f t="shared" si="2"/>
        <v>Same</v>
      </c>
    </row>
    <row r="151" spans="1:6" x14ac:dyDescent="0.25">
      <c r="A151" s="38" t="s">
        <v>462</v>
      </c>
      <c r="B151" s="38" t="s">
        <v>462</v>
      </c>
      <c r="C151" s="38" t="s">
        <v>74</v>
      </c>
      <c r="D151" s="38"/>
      <c r="F151" t="str">
        <f t="shared" si="2"/>
        <v>Same</v>
      </c>
    </row>
    <row r="152" spans="1:6" x14ac:dyDescent="0.25">
      <c r="A152" s="38" t="s">
        <v>463</v>
      </c>
      <c r="B152" s="38" t="s">
        <v>463</v>
      </c>
      <c r="C152" s="38" t="s">
        <v>10</v>
      </c>
      <c r="D152" s="38"/>
      <c r="F152" t="str">
        <f t="shared" si="2"/>
        <v>Same</v>
      </c>
    </row>
    <row r="153" spans="1:6" x14ac:dyDescent="0.25">
      <c r="A153" s="38" t="s">
        <v>464</v>
      </c>
      <c r="B153" s="38" t="s">
        <v>464</v>
      </c>
      <c r="C153" s="38" t="s">
        <v>2</v>
      </c>
      <c r="D153" s="38"/>
      <c r="F153" t="str">
        <f t="shared" si="2"/>
        <v>Same</v>
      </c>
    </row>
    <row r="154" spans="1:6" x14ac:dyDescent="0.25">
      <c r="A154" s="38" t="s">
        <v>465</v>
      </c>
      <c r="B154" s="38" t="s">
        <v>465</v>
      </c>
      <c r="C154" s="38" t="s">
        <v>51</v>
      </c>
      <c r="D154" s="38"/>
      <c r="F154" t="str">
        <f t="shared" si="2"/>
        <v>Same</v>
      </c>
    </row>
    <row r="155" spans="1:6" x14ac:dyDescent="0.25">
      <c r="A155" s="38" t="s">
        <v>466</v>
      </c>
      <c r="B155" s="38" t="s">
        <v>466</v>
      </c>
      <c r="C155" s="38" t="s">
        <v>117</v>
      </c>
      <c r="D155" s="38"/>
      <c r="F155" t="str">
        <f t="shared" si="2"/>
        <v>Same</v>
      </c>
    </row>
    <row r="156" spans="1:6" x14ac:dyDescent="0.25">
      <c r="A156" s="38" t="s">
        <v>467</v>
      </c>
      <c r="B156" s="38" t="s">
        <v>467</v>
      </c>
      <c r="C156" s="38" t="s">
        <v>113</v>
      </c>
      <c r="D156" s="38"/>
      <c r="F156" t="str">
        <f t="shared" si="2"/>
        <v>Same</v>
      </c>
    </row>
    <row r="157" spans="1:6" x14ac:dyDescent="0.25">
      <c r="A157" s="38" t="s">
        <v>468</v>
      </c>
      <c r="B157" s="38" t="s">
        <v>469</v>
      </c>
      <c r="C157" s="38" t="s">
        <v>40</v>
      </c>
      <c r="D157" s="38" t="s">
        <v>470</v>
      </c>
      <c r="F157" t="str">
        <f t="shared" si="2"/>
        <v>Different</v>
      </c>
    </row>
    <row r="158" spans="1:6" ht="30" x14ac:dyDescent="0.25">
      <c r="A158" s="38" t="s">
        <v>471</v>
      </c>
      <c r="B158" s="38" t="s">
        <v>471</v>
      </c>
      <c r="C158" s="41" t="s">
        <v>21</v>
      </c>
      <c r="D158" s="41" t="s">
        <v>664</v>
      </c>
      <c r="F158" t="str">
        <f t="shared" si="2"/>
        <v>Same</v>
      </c>
    </row>
    <row r="159" spans="1:6" ht="30" x14ac:dyDescent="0.25">
      <c r="A159" s="38" t="s">
        <v>471</v>
      </c>
      <c r="B159" s="38" t="s">
        <v>471</v>
      </c>
      <c r="C159" s="38" t="s">
        <v>21</v>
      </c>
      <c r="D159" s="41" t="s">
        <v>664</v>
      </c>
      <c r="F159" t="str">
        <f t="shared" si="2"/>
        <v>Same</v>
      </c>
    </row>
    <row r="160" spans="1:6" x14ac:dyDescent="0.25">
      <c r="A160" s="38" t="s">
        <v>473</v>
      </c>
      <c r="B160" s="38" t="s">
        <v>473</v>
      </c>
      <c r="C160" s="38" t="s">
        <v>474</v>
      </c>
      <c r="D160" s="38"/>
      <c r="F160" t="str">
        <f t="shared" si="2"/>
        <v>Same</v>
      </c>
    </row>
    <row r="161" spans="1:6" x14ac:dyDescent="0.25">
      <c r="A161" s="38" t="s">
        <v>475</v>
      </c>
      <c r="B161" s="38" t="s">
        <v>475</v>
      </c>
      <c r="C161" s="38" t="s">
        <v>124</v>
      </c>
      <c r="D161" s="38"/>
      <c r="F161" t="str">
        <f t="shared" si="2"/>
        <v>Same</v>
      </c>
    </row>
    <row r="162" spans="1:6" x14ac:dyDescent="0.25">
      <c r="A162" s="38" t="s">
        <v>476</v>
      </c>
      <c r="B162" s="38" t="s">
        <v>476</v>
      </c>
      <c r="C162" s="38" t="s">
        <v>477</v>
      </c>
      <c r="D162" s="38"/>
      <c r="F162" t="str">
        <f t="shared" si="2"/>
        <v>Same</v>
      </c>
    </row>
    <row r="163" spans="1:6" x14ac:dyDescent="0.25">
      <c r="A163" s="38" t="s">
        <v>478</v>
      </c>
      <c r="B163" s="38" t="s">
        <v>479</v>
      </c>
      <c r="C163" s="38" t="s">
        <v>480</v>
      </c>
      <c r="D163" s="38" t="s">
        <v>481</v>
      </c>
      <c r="F163" t="str">
        <f t="shared" si="2"/>
        <v>Different</v>
      </c>
    </row>
    <row r="164" spans="1:6" ht="30" x14ac:dyDescent="0.25">
      <c r="A164" s="38" t="s">
        <v>482</v>
      </c>
      <c r="B164" s="38" t="s">
        <v>482</v>
      </c>
      <c r="C164" s="38" t="s">
        <v>483</v>
      </c>
      <c r="D164" s="38"/>
      <c r="F164" t="str">
        <f t="shared" si="2"/>
        <v>Same</v>
      </c>
    </row>
    <row r="165" spans="1:6" x14ac:dyDescent="0.25">
      <c r="A165" s="38" t="s">
        <v>484</v>
      </c>
      <c r="B165" s="38" t="s">
        <v>485</v>
      </c>
      <c r="C165" s="38" t="s">
        <v>152</v>
      </c>
      <c r="D165" s="38" t="s">
        <v>486</v>
      </c>
      <c r="F165" t="str">
        <f t="shared" si="2"/>
        <v>Different</v>
      </c>
    </row>
    <row r="166" spans="1:6" ht="30" x14ac:dyDescent="0.25">
      <c r="A166" s="38" t="s">
        <v>487</v>
      </c>
      <c r="B166" s="38" t="s">
        <v>487</v>
      </c>
      <c r="C166" s="38" t="s">
        <v>488</v>
      </c>
      <c r="D166" s="38"/>
      <c r="F166" t="str">
        <f t="shared" si="2"/>
        <v>Same</v>
      </c>
    </row>
    <row r="167" spans="1:6" ht="45" x14ac:dyDescent="0.25">
      <c r="A167" s="38" t="s">
        <v>489</v>
      </c>
      <c r="B167" s="38" t="s">
        <v>490</v>
      </c>
      <c r="C167" s="38" t="s">
        <v>76</v>
      </c>
      <c r="D167" s="38" t="s">
        <v>491</v>
      </c>
      <c r="F167" t="str">
        <f t="shared" si="2"/>
        <v>Different</v>
      </c>
    </row>
    <row r="168" spans="1:6" ht="45" x14ac:dyDescent="0.25">
      <c r="A168" s="38" t="s">
        <v>489</v>
      </c>
      <c r="B168" s="38" t="s">
        <v>490</v>
      </c>
      <c r="C168" s="38" t="s">
        <v>170</v>
      </c>
      <c r="D168" s="38" t="s">
        <v>491</v>
      </c>
      <c r="F168" t="str">
        <f t="shared" si="2"/>
        <v>Different</v>
      </c>
    </row>
    <row r="169" spans="1:6" x14ac:dyDescent="0.25">
      <c r="A169" s="38" t="s">
        <v>492</v>
      </c>
      <c r="B169" s="38" t="s">
        <v>492</v>
      </c>
      <c r="C169" s="38" t="s">
        <v>137</v>
      </c>
      <c r="D169" s="38"/>
      <c r="F169" t="str">
        <f t="shared" si="2"/>
        <v>Same</v>
      </c>
    </row>
    <row r="170" spans="1:6" x14ac:dyDescent="0.25">
      <c r="A170" s="38" t="s">
        <v>493</v>
      </c>
      <c r="B170" s="38" t="s">
        <v>493</v>
      </c>
      <c r="C170" s="38" t="s">
        <v>100</v>
      </c>
      <c r="D170" s="38"/>
      <c r="F170" t="str">
        <f t="shared" si="2"/>
        <v>Same</v>
      </c>
    </row>
    <row r="171" spans="1:6" x14ac:dyDescent="0.25">
      <c r="A171" s="38" t="s">
        <v>494</v>
      </c>
      <c r="B171" s="38" t="s">
        <v>494</v>
      </c>
      <c r="C171" s="38" t="s">
        <v>45</v>
      </c>
      <c r="D171" s="38"/>
      <c r="F171" t="str">
        <f t="shared" si="2"/>
        <v>Same</v>
      </c>
    </row>
    <row r="172" spans="1:6" x14ac:dyDescent="0.25">
      <c r="A172" s="38" t="s">
        <v>495</v>
      </c>
      <c r="B172" s="38" t="s">
        <v>495</v>
      </c>
      <c r="C172" s="38" t="s">
        <v>11</v>
      </c>
      <c r="D172" s="38" t="s">
        <v>496</v>
      </c>
      <c r="F172" t="str">
        <f t="shared" si="2"/>
        <v>Same</v>
      </c>
    </row>
    <row r="173" spans="1:6" x14ac:dyDescent="0.25">
      <c r="A173" s="38" t="s">
        <v>497</v>
      </c>
      <c r="B173" s="38" t="s">
        <v>497</v>
      </c>
      <c r="C173" s="38" t="s">
        <v>180</v>
      </c>
      <c r="D173" s="38"/>
      <c r="F173" t="str">
        <f t="shared" si="2"/>
        <v>Same</v>
      </c>
    </row>
    <row r="174" spans="1:6" x14ac:dyDescent="0.25">
      <c r="A174" s="38" t="s">
        <v>498</v>
      </c>
      <c r="B174" s="38" t="s">
        <v>498</v>
      </c>
      <c r="C174" s="38" t="s">
        <v>166</v>
      </c>
      <c r="D174" s="38"/>
      <c r="F174" t="str">
        <f t="shared" si="2"/>
        <v>Same</v>
      </c>
    </row>
    <row r="175" spans="1:6" x14ac:dyDescent="0.25">
      <c r="A175" s="38" t="s">
        <v>499</v>
      </c>
      <c r="B175" s="38" t="s">
        <v>499</v>
      </c>
      <c r="C175" s="38" t="s">
        <v>500</v>
      </c>
      <c r="D175" s="38"/>
      <c r="F175" t="str">
        <f t="shared" si="2"/>
        <v>Same</v>
      </c>
    </row>
    <row r="176" spans="1:6" x14ac:dyDescent="0.25">
      <c r="A176" s="38" t="s">
        <v>501</v>
      </c>
      <c r="B176" s="38" t="s">
        <v>502</v>
      </c>
      <c r="C176" s="38" t="s">
        <v>14</v>
      </c>
      <c r="D176" s="38" t="s">
        <v>503</v>
      </c>
      <c r="F176" t="str">
        <f t="shared" si="2"/>
        <v>Different</v>
      </c>
    </row>
    <row r="177" spans="1:6" x14ac:dyDescent="0.25">
      <c r="A177" s="38" t="s">
        <v>504</v>
      </c>
      <c r="B177" s="38" t="s">
        <v>505</v>
      </c>
      <c r="C177" s="38" t="s">
        <v>60</v>
      </c>
      <c r="D177" s="38" t="s">
        <v>506</v>
      </c>
      <c r="F177" t="str">
        <f t="shared" si="2"/>
        <v>Different</v>
      </c>
    </row>
    <row r="178" spans="1:6" x14ac:dyDescent="0.25">
      <c r="A178" s="38" t="s">
        <v>507</v>
      </c>
      <c r="B178" s="38" t="s">
        <v>508</v>
      </c>
      <c r="C178" s="38" t="s">
        <v>39</v>
      </c>
      <c r="D178" s="38" t="s">
        <v>509</v>
      </c>
      <c r="F178" t="str">
        <f t="shared" si="2"/>
        <v>Different</v>
      </c>
    </row>
    <row r="179" spans="1:6" x14ac:dyDescent="0.25">
      <c r="A179" s="38" t="s">
        <v>510</v>
      </c>
      <c r="B179" s="38" t="s">
        <v>510</v>
      </c>
      <c r="C179" s="38" t="s">
        <v>104</v>
      </c>
      <c r="D179" s="38"/>
      <c r="F179" t="str">
        <f t="shared" si="2"/>
        <v>Same</v>
      </c>
    </row>
    <row r="180" spans="1:6" x14ac:dyDescent="0.25">
      <c r="A180" s="38" t="s">
        <v>511</v>
      </c>
      <c r="B180" s="38" t="s">
        <v>512</v>
      </c>
      <c r="C180" s="38" t="s">
        <v>204</v>
      </c>
      <c r="D180" s="38" t="s">
        <v>513</v>
      </c>
      <c r="F180" t="str">
        <f t="shared" si="2"/>
        <v>Different</v>
      </c>
    </row>
    <row r="181" spans="1:6" x14ac:dyDescent="0.25">
      <c r="A181" s="38" t="s">
        <v>514</v>
      </c>
      <c r="B181" s="38" t="s">
        <v>514</v>
      </c>
      <c r="C181" s="38" t="s">
        <v>91</v>
      </c>
      <c r="D181" s="38"/>
      <c r="F181" t="str">
        <f t="shared" si="2"/>
        <v>Same</v>
      </c>
    </row>
    <row r="182" spans="1:6" x14ac:dyDescent="0.25">
      <c r="A182" s="38" t="s">
        <v>515</v>
      </c>
      <c r="B182" s="38" t="s">
        <v>515</v>
      </c>
      <c r="C182" s="38" t="s">
        <v>516</v>
      </c>
      <c r="D182" s="38"/>
      <c r="F182" t="str">
        <f t="shared" si="2"/>
        <v>Same</v>
      </c>
    </row>
    <row r="183" spans="1:6" x14ac:dyDescent="0.25">
      <c r="A183" s="38" t="s">
        <v>517</v>
      </c>
      <c r="B183" s="38" t="s">
        <v>517</v>
      </c>
      <c r="C183" s="38" t="s">
        <v>97</v>
      </c>
      <c r="D183" s="38"/>
      <c r="F183" t="str">
        <f t="shared" si="2"/>
        <v>Same</v>
      </c>
    </row>
    <row r="184" spans="1:6" x14ac:dyDescent="0.25">
      <c r="A184" s="38" t="s">
        <v>518</v>
      </c>
      <c r="B184" s="38" t="s">
        <v>518</v>
      </c>
      <c r="C184" s="38" t="s">
        <v>519</v>
      </c>
      <c r="D184" s="38"/>
      <c r="F184" t="str">
        <f t="shared" si="2"/>
        <v>Same</v>
      </c>
    </row>
    <row r="185" spans="1:6" x14ac:dyDescent="0.25">
      <c r="A185" s="38" t="s">
        <v>520</v>
      </c>
      <c r="B185" s="38" t="s">
        <v>520</v>
      </c>
      <c r="C185" s="38" t="s">
        <v>120</v>
      </c>
      <c r="D185" s="38" t="s">
        <v>521</v>
      </c>
      <c r="F185" t="str">
        <f t="shared" si="2"/>
        <v>Same</v>
      </c>
    </row>
    <row r="186" spans="1:6" x14ac:dyDescent="0.25">
      <c r="A186" s="38" t="s">
        <v>522</v>
      </c>
      <c r="B186" s="38" t="s">
        <v>522</v>
      </c>
      <c r="C186" s="38" t="s">
        <v>141</v>
      </c>
      <c r="D186" s="38"/>
      <c r="F186" t="str">
        <f t="shared" si="2"/>
        <v>Same</v>
      </c>
    </row>
    <row r="187" spans="1:6" x14ac:dyDescent="0.25">
      <c r="A187" s="38" t="s">
        <v>523</v>
      </c>
      <c r="B187" s="38" t="s">
        <v>523</v>
      </c>
      <c r="C187" s="38" t="s">
        <v>122</v>
      </c>
      <c r="D187" s="38"/>
      <c r="F187" t="str">
        <f t="shared" si="2"/>
        <v>Same</v>
      </c>
    </row>
    <row r="188" spans="1:6" x14ac:dyDescent="0.25">
      <c r="A188" s="38" t="s">
        <v>524</v>
      </c>
      <c r="B188" s="38" t="s">
        <v>525</v>
      </c>
      <c r="C188" s="38" t="s">
        <v>15</v>
      </c>
      <c r="D188" s="38" t="s">
        <v>526</v>
      </c>
      <c r="F188" t="str">
        <f t="shared" si="2"/>
        <v>Different</v>
      </c>
    </row>
    <row r="189" spans="1:6" x14ac:dyDescent="0.25">
      <c r="A189" s="38" t="s">
        <v>527</v>
      </c>
      <c r="B189" s="38" t="s">
        <v>527</v>
      </c>
      <c r="C189" s="38" t="s">
        <v>63</v>
      </c>
      <c r="D189" s="38"/>
      <c r="F189" t="str">
        <f t="shared" si="2"/>
        <v>Same</v>
      </c>
    </row>
    <row r="190" spans="1:6" x14ac:dyDescent="0.25">
      <c r="A190" s="38" t="s">
        <v>528</v>
      </c>
      <c r="B190" s="38" t="s">
        <v>528</v>
      </c>
      <c r="C190" s="38" t="s">
        <v>64</v>
      </c>
      <c r="D190" s="38"/>
      <c r="F190" t="str">
        <f t="shared" si="2"/>
        <v>Same</v>
      </c>
    </row>
    <row r="191" spans="1:6" x14ac:dyDescent="0.25">
      <c r="A191" s="38" t="s">
        <v>529</v>
      </c>
      <c r="B191" s="38" t="s">
        <v>530</v>
      </c>
      <c r="C191" s="38" t="s">
        <v>1</v>
      </c>
      <c r="D191" s="38" t="s">
        <v>531</v>
      </c>
      <c r="F191" t="str">
        <f t="shared" si="2"/>
        <v>Different</v>
      </c>
    </row>
    <row r="192" spans="1:6" x14ac:dyDescent="0.25">
      <c r="A192" s="38" t="s">
        <v>532</v>
      </c>
      <c r="B192" s="38" t="s">
        <v>533</v>
      </c>
      <c r="C192" s="38" t="s">
        <v>144</v>
      </c>
      <c r="D192" s="38" t="s">
        <v>534</v>
      </c>
      <c r="F192" t="str">
        <f t="shared" si="2"/>
        <v>Different</v>
      </c>
    </row>
    <row r="193" spans="1:6" x14ac:dyDescent="0.25">
      <c r="A193" s="38" t="s">
        <v>535</v>
      </c>
      <c r="B193" s="38" t="s">
        <v>535</v>
      </c>
      <c r="C193" s="38" t="s">
        <v>188</v>
      </c>
      <c r="D193" s="38"/>
      <c r="F193" t="str">
        <f t="shared" si="2"/>
        <v>Same</v>
      </c>
    </row>
    <row r="194" spans="1:6" x14ac:dyDescent="0.25">
      <c r="A194" s="38" t="s">
        <v>536</v>
      </c>
      <c r="B194" s="38" t="s">
        <v>536</v>
      </c>
      <c r="C194" s="38" t="s">
        <v>185</v>
      </c>
      <c r="D194" s="38"/>
      <c r="F194" t="str">
        <f t="shared" si="2"/>
        <v>Same</v>
      </c>
    </row>
    <row r="195" spans="1:6" x14ac:dyDescent="0.25">
      <c r="A195" s="38" t="s">
        <v>537</v>
      </c>
      <c r="B195" s="38" t="s">
        <v>537</v>
      </c>
      <c r="C195" s="38" t="s">
        <v>206</v>
      </c>
      <c r="D195" s="38"/>
      <c r="F195" t="str">
        <f t="shared" ref="F195:F258" si="3">IF(A195&lt;&gt;B195,"Different","Same")</f>
        <v>Same</v>
      </c>
    </row>
    <row r="196" spans="1:6" x14ac:dyDescent="0.25">
      <c r="A196" s="38" t="s">
        <v>538</v>
      </c>
      <c r="B196" s="38" t="s">
        <v>538</v>
      </c>
      <c r="C196" s="38" t="s">
        <v>167</v>
      </c>
      <c r="D196" s="38"/>
      <c r="F196" t="str">
        <f t="shared" si="3"/>
        <v>Same</v>
      </c>
    </row>
    <row r="197" spans="1:6" x14ac:dyDescent="0.25">
      <c r="A197" s="38" t="s">
        <v>539</v>
      </c>
      <c r="B197" s="38" t="s">
        <v>539</v>
      </c>
      <c r="C197" s="38" t="s">
        <v>78</v>
      </c>
      <c r="D197" s="38"/>
      <c r="F197" t="str">
        <f t="shared" si="3"/>
        <v>Same</v>
      </c>
    </row>
    <row r="198" spans="1:6" x14ac:dyDescent="0.25">
      <c r="A198" s="38" t="s">
        <v>540</v>
      </c>
      <c r="B198" s="38" t="s">
        <v>540</v>
      </c>
      <c r="C198" s="38" t="s">
        <v>114</v>
      </c>
      <c r="D198" s="38"/>
      <c r="F198" t="str">
        <f t="shared" si="3"/>
        <v>Same</v>
      </c>
    </row>
    <row r="199" spans="1:6" x14ac:dyDescent="0.25">
      <c r="A199" s="38" t="s">
        <v>541</v>
      </c>
      <c r="B199" s="38" t="s">
        <v>542</v>
      </c>
      <c r="C199" s="38" t="s">
        <v>24</v>
      </c>
      <c r="D199" s="38" t="s">
        <v>543</v>
      </c>
      <c r="F199" t="str">
        <f t="shared" si="3"/>
        <v>Different</v>
      </c>
    </row>
    <row r="200" spans="1:6" x14ac:dyDescent="0.25">
      <c r="A200" s="38" t="s">
        <v>544</v>
      </c>
      <c r="B200" s="38" t="s">
        <v>544</v>
      </c>
      <c r="C200" s="38" t="s">
        <v>88</v>
      </c>
      <c r="D200" s="38"/>
      <c r="F200" t="str">
        <f t="shared" si="3"/>
        <v>Same</v>
      </c>
    </row>
    <row r="201" spans="1:6" x14ac:dyDescent="0.25">
      <c r="A201" s="38" t="s">
        <v>545</v>
      </c>
      <c r="B201" s="38" t="s">
        <v>545</v>
      </c>
      <c r="C201" s="38" t="s">
        <v>232</v>
      </c>
      <c r="D201" s="38"/>
      <c r="F201" t="str">
        <f t="shared" si="3"/>
        <v>Same</v>
      </c>
    </row>
    <row r="202" spans="1:6" ht="30" x14ac:dyDescent="0.25">
      <c r="A202" s="38" t="s">
        <v>546</v>
      </c>
      <c r="B202" s="38" t="s">
        <v>546</v>
      </c>
      <c r="C202" s="38" t="s">
        <v>229</v>
      </c>
      <c r="D202" s="38"/>
      <c r="F202" t="str">
        <f t="shared" si="3"/>
        <v>Same</v>
      </c>
    </row>
    <row r="203" spans="1:6" x14ac:dyDescent="0.25">
      <c r="A203" s="38" t="s">
        <v>547</v>
      </c>
      <c r="B203" s="38" t="s">
        <v>547</v>
      </c>
      <c r="C203" s="38" t="s">
        <v>205</v>
      </c>
      <c r="D203" s="38"/>
      <c r="F203" t="str">
        <f t="shared" si="3"/>
        <v>Same</v>
      </c>
    </row>
    <row r="204" spans="1:6" x14ac:dyDescent="0.25">
      <c r="A204" s="38" t="s">
        <v>548</v>
      </c>
      <c r="B204" s="38" t="s">
        <v>548</v>
      </c>
      <c r="C204" s="38" t="s">
        <v>140</v>
      </c>
      <c r="D204" s="38"/>
      <c r="F204" t="str">
        <f t="shared" si="3"/>
        <v>Same</v>
      </c>
    </row>
    <row r="205" spans="1:6" x14ac:dyDescent="0.25">
      <c r="A205" s="38" t="s">
        <v>549</v>
      </c>
      <c r="B205" s="38" t="s">
        <v>549</v>
      </c>
      <c r="C205" s="38" t="s">
        <v>125</v>
      </c>
      <c r="D205" s="38"/>
      <c r="F205" t="str">
        <f t="shared" si="3"/>
        <v>Same</v>
      </c>
    </row>
    <row r="206" spans="1:6" x14ac:dyDescent="0.25">
      <c r="A206" s="38" t="s">
        <v>550</v>
      </c>
      <c r="B206" s="38" t="s">
        <v>550</v>
      </c>
      <c r="C206" s="38" t="s">
        <v>94</v>
      </c>
      <c r="D206" s="38"/>
      <c r="F206" t="str">
        <f t="shared" si="3"/>
        <v>Same</v>
      </c>
    </row>
    <row r="207" spans="1:6" x14ac:dyDescent="0.25">
      <c r="A207" s="38" t="s">
        <v>551</v>
      </c>
      <c r="B207" s="38" t="s">
        <v>552</v>
      </c>
      <c r="C207" s="38" t="s">
        <v>7</v>
      </c>
      <c r="D207" s="38" t="s">
        <v>553</v>
      </c>
      <c r="F207" t="str">
        <f t="shared" si="3"/>
        <v>Different</v>
      </c>
    </row>
    <row r="208" spans="1:6" x14ac:dyDescent="0.25">
      <c r="A208" s="38" t="s">
        <v>554</v>
      </c>
      <c r="B208" s="38" t="s">
        <v>554</v>
      </c>
      <c r="C208" s="38" t="s">
        <v>99</v>
      </c>
      <c r="D208" s="38"/>
      <c r="F208" t="str">
        <f t="shared" si="3"/>
        <v>Same</v>
      </c>
    </row>
    <row r="209" spans="1:6" x14ac:dyDescent="0.25">
      <c r="A209" s="38" t="s">
        <v>555</v>
      </c>
      <c r="B209" s="38" t="s">
        <v>555</v>
      </c>
      <c r="C209" s="38" t="s">
        <v>214</v>
      </c>
      <c r="D209" s="38"/>
      <c r="F209" t="str">
        <f t="shared" si="3"/>
        <v>Same</v>
      </c>
    </row>
    <row r="210" spans="1:6" x14ac:dyDescent="0.25">
      <c r="A210" s="38" t="s">
        <v>556</v>
      </c>
      <c r="B210" s="38" t="s">
        <v>556</v>
      </c>
      <c r="C210" s="38" t="s">
        <v>231</v>
      </c>
      <c r="D210" s="38"/>
      <c r="F210" t="str">
        <f t="shared" si="3"/>
        <v>Same</v>
      </c>
    </row>
    <row r="211" spans="1:6" x14ac:dyDescent="0.25">
      <c r="A211" s="38" t="s">
        <v>557</v>
      </c>
      <c r="B211" s="38" t="s">
        <v>557</v>
      </c>
      <c r="C211" s="38" t="s">
        <v>89</v>
      </c>
      <c r="D211" s="38"/>
      <c r="F211" t="str">
        <f t="shared" si="3"/>
        <v>Same</v>
      </c>
    </row>
    <row r="212" spans="1:6" x14ac:dyDescent="0.25">
      <c r="A212" s="38" t="s">
        <v>558</v>
      </c>
      <c r="B212" s="38" t="s">
        <v>558</v>
      </c>
      <c r="C212" s="38" t="s">
        <v>233</v>
      </c>
      <c r="D212" s="38"/>
      <c r="F212" t="str">
        <f t="shared" si="3"/>
        <v>Same</v>
      </c>
    </row>
    <row r="213" spans="1:6" x14ac:dyDescent="0.25">
      <c r="A213" s="38" t="s">
        <v>559</v>
      </c>
      <c r="B213" s="38" t="s">
        <v>559</v>
      </c>
      <c r="C213" s="38" t="s">
        <v>92</v>
      </c>
      <c r="D213" s="38"/>
      <c r="F213" t="str">
        <f t="shared" si="3"/>
        <v>Same</v>
      </c>
    </row>
    <row r="214" spans="1:6" x14ac:dyDescent="0.25">
      <c r="A214" s="38" t="s">
        <v>560</v>
      </c>
      <c r="B214" s="38" t="s">
        <v>560</v>
      </c>
      <c r="C214" s="38" t="s">
        <v>132</v>
      </c>
      <c r="D214" s="38"/>
      <c r="F214" t="str">
        <f t="shared" si="3"/>
        <v>Same</v>
      </c>
    </row>
    <row r="215" spans="1:6" x14ac:dyDescent="0.25">
      <c r="A215" s="38" t="s">
        <v>561</v>
      </c>
      <c r="B215" s="38" t="s">
        <v>561</v>
      </c>
      <c r="C215" s="38" t="s">
        <v>202</v>
      </c>
      <c r="D215" s="38"/>
      <c r="F215" t="str">
        <f t="shared" si="3"/>
        <v>Same</v>
      </c>
    </row>
    <row r="216" spans="1:6" ht="30" x14ac:dyDescent="0.25">
      <c r="A216" s="38" t="s">
        <v>562</v>
      </c>
      <c r="B216" s="38" t="s">
        <v>562</v>
      </c>
      <c r="C216" s="38" t="s">
        <v>191</v>
      </c>
      <c r="D216" s="38"/>
      <c r="F216" t="str">
        <f t="shared" si="3"/>
        <v>Same</v>
      </c>
    </row>
    <row r="217" spans="1:6" x14ac:dyDescent="0.25">
      <c r="A217" s="38" t="s">
        <v>563</v>
      </c>
      <c r="B217" s="38" t="s">
        <v>563</v>
      </c>
      <c r="C217" s="38" t="s">
        <v>85</v>
      </c>
      <c r="D217" s="38"/>
      <c r="F217" t="str">
        <f t="shared" si="3"/>
        <v>Same</v>
      </c>
    </row>
    <row r="218" spans="1:6" x14ac:dyDescent="0.25">
      <c r="A218" s="38" t="s">
        <v>564</v>
      </c>
      <c r="B218" s="38" t="s">
        <v>564</v>
      </c>
      <c r="C218" s="38" t="s">
        <v>149</v>
      </c>
      <c r="D218" s="38"/>
      <c r="F218" t="str">
        <f t="shared" si="3"/>
        <v>Same</v>
      </c>
    </row>
    <row r="219" spans="1:6" x14ac:dyDescent="0.25">
      <c r="A219" s="38" t="s">
        <v>565</v>
      </c>
      <c r="B219" s="38" t="s">
        <v>565</v>
      </c>
      <c r="C219" s="38" t="s">
        <v>102</v>
      </c>
      <c r="D219" s="38"/>
      <c r="F219" t="str">
        <f t="shared" si="3"/>
        <v>Same</v>
      </c>
    </row>
    <row r="220" spans="1:6" x14ac:dyDescent="0.25">
      <c r="A220" s="38" t="s">
        <v>566</v>
      </c>
      <c r="B220" s="38" t="s">
        <v>566</v>
      </c>
      <c r="C220" s="38" t="s">
        <v>216</v>
      </c>
      <c r="D220" s="38"/>
      <c r="F220" t="str">
        <f t="shared" si="3"/>
        <v>Same</v>
      </c>
    </row>
    <row r="221" spans="1:6" ht="105" x14ac:dyDescent="0.25">
      <c r="A221" s="38" t="s">
        <v>567</v>
      </c>
      <c r="B221" s="38" t="s">
        <v>567</v>
      </c>
      <c r="C221" s="38" t="s">
        <v>568</v>
      </c>
      <c r="D221" s="38"/>
      <c r="F221" t="str">
        <f t="shared" si="3"/>
        <v>Same</v>
      </c>
    </row>
    <row r="222" spans="1:6" ht="120" x14ac:dyDescent="0.25">
      <c r="A222" s="38" t="s">
        <v>569</v>
      </c>
      <c r="B222" s="38" t="s">
        <v>569</v>
      </c>
      <c r="C222" s="38" t="s">
        <v>570</v>
      </c>
      <c r="D222" s="38"/>
      <c r="F222" t="str">
        <f t="shared" si="3"/>
        <v>Same</v>
      </c>
    </row>
    <row r="223" spans="1:6" ht="120" x14ac:dyDescent="0.25">
      <c r="A223" s="38" t="s">
        <v>571</v>
      </c>
      <c r="B223" s="38" t="s">
        <v>571</v>
      </c>
      <c r="C223" s="38" t="s">
        <v>572</v>
      </c>
      <c r="D223" s="38"/>
      <c r="F223" t="str">
        <f t="shared" si="3"/>
        <v>Same</v>
      </c>
    </row>
    <row r="224" spans="1:6" ht="105" x14ac:dyDescent="0.25">
      <c r="A224" s="38" t="s">
        <v>573</v>
      </c>
      <c r="B224" s="38" t="s">
        <v>573</v>
      </c>
      <c r="C224" s="38" t="s">
        <v>574</v>
      </c>
      <c r="D224" s="38"/>
      <c r="F224" t="str">
        <f t="shared" si="3"/>
        <v>Same</v>
      </c>
    </row>
    <row r="225" spans="1:6" ht="105" x14ac:dyDescent="0.25">
      <c r="A225" s="38" t="s">
        <v>575</v>
      </c>
      <c r="B225" s="38" t="s">
        <v>575</v>
      </c>
      <c r="C225" s="38" t="s">
        <v>576</v>
      </c>
      <c r="D225" s="38"/>
      <c r="F225" t="str">
        <f t="shared" si="3"/>
        <v>Same</v>
      </c>
    </row>
    <row r="226" spans="1:6" ht="105" x14ac:dyDescent="0.25">
      <c r="A226" s="38" t="s">
        <v>577</v>
      </c>
      <c r="B226" s="38" t="s">
        <v>577</v>
      </c>
      <c r="C226" s="38" t="s">
        <v>578</v>
      </c>
      <c r="D226" s="38"/>
      <c r="F226" t="str">
        <f t="shared" si="3"/>
        <v>Same</v>
      </c>
    </row>
    <row r="227" spans="1:6" ht="150" x14ac:dyDescent="0.25">
      <c r="A227" s="38" t="s">
        <v>579</v>
      </c>
      <c r="B227" s="38" t="s">
        <v>579</v>
      </c>
      <c r="C227" s="38" t="s">
        <v>580</v>
      </c>
      <c r="D227" s="38"/>
      <c r="F227" t="str">
        <f t="shared" si="3"/>
        <v>Same</v>
      </c>
    </row>
    <row r="228" spans="1:6" x14ac:dyDescent="0.25">
      <c r="A228" s="38" t="s">
        <v>581</v>
      </c>
      <c r="B228" s="38" t="s">
        <v>581</v>
      </c>
      <c r="C228" s="38" t="s">
        <v>178</v>
      </c>
      <c r="D228" s="38"/>
      <c r="F228" t="str">
        <f t="shared" si="3"/>
        <v>Same</v>
      </c>
    </row>
    <row r="229" spans="1:6" x14ac:dyDescent="0.25">
      <c r="A229" s="38" t="s">
        <v>582</v>
      </c>
      <c r="B229" s="38" t="s">
        <v>582</v>
      </c>
      <c r="C229" s="38" t="s">
        <v>130</v>
      </c>
      <c r="D229" s="38"/>
      <c r="F229" t="str">
        <f t="shared" si="3"/>
        <v>Same</v>
      </c>
    </row>
    <row r="230" spans="1:6" x14ac:dyDescent="0.25">
      <c r="A230" s="38" t="s">
        <v>583</v>
      </c>
      <c r="B230" s="38" t="s">
        <v>584</v>
      </c>
      <c r="C230" s="38" t="s">
        <v>31</v>
      </c>
      <c r="D230" s="38" t="s">
        <v>585</v>
      </c>
      <c r="F230" t="str">
        <f t="shared" si="3"/>
        <v>Different</v>
      </c>
    </row>
    <row r="231" spans="1:6" x14ac:dyDescent="0.25">
      <c r="A231" s="38" t="s">
        <v>586</v>
      </c>
      <c r="B231" s="38" t="s">
        <v>586</v>
      </c>
      <c r="C231" s="38" t="s">
        <v>177</v>
      </c>
      <c r="D231" s="38"/>
      <c r="F231" t="str">
        <f t="shared" si="3"/>
        <v>Same</v>
      </c>
    </row>
    <row r="232" spans="1:6" x14ac:dyDescent="0.25">
      <c r="A232" s="38" t="s">
        <v>587</v>
      </c>
      <c r="B232" s="38" t="s">
        <v>587</v>
      </c>
      <c r="C232" s="38" t="s">
        <v>129</v>
      </c>
      <c r="D232" s="38"/>
      <c r="F232" t="str">
        <f t="shared" si="3"/>
        <v>Same</v>
      </c>
    </row>
    <row r="233" spans="1:6" x14ac:dyDescent="0.25">
      <c r="A233" s="38" t="s">
        <v>588</v>
      </c>
      <c r="B233" s="38" t="s">
        <v>588</v>
      </c>
      <c r="C233" s="38" t="s">
        <v>221</v>
      </c>
      <c r="D233" s="38"/>
      <c r="F233" t="str">
        <f t="shared" si="3"/>
        <v>Same</v>
      </c>
    </row>
    <row r="234" spans="1:6" x14ac:dyDescent="0.25">
      <c r="A234" s="38" t="s">
        <v>589</v>
      </c>
      <c r="B234" s="38" t="s">
        <v>589</v>
      </c>
      <c r="C234" s="38" t="s">
        <v>126</v>
      </c>
      <c r="D234" s="38"/>
      <c r="F234" t="str">
        <f t="shared" si="3"/>
        <v>Same</v>
      </c>
    </row>
    <row r="235" spans="1:6" x14ac:dyDescent="0.25">
      <c r="A235" s="38" t="s">
        <v>590</v>
      </c>
      <c r="B235" s="38" t="s">
        <v>590</v>
      </c>
      <c r="C235" s="38" t="s">
        <v>164</v>
      </c>
      <c r="D235" s="38"/>
      <c r="F235" t="str">
        <f t="shared" si="3"/>
        <v>Same</v>
      </c>
    </row>
    <row r="236" spans="1:6" x14ac:dyDescent="0.25">
      <c r="A236" s="38" t="s">
        <v>591</v>
      </c>
      <c r="B236" s="38" t="s">
        <v>591</v>
      </c>
      <c r="C236" s="38" t="s">
        <v>131</v>
      </c>
      <c r="D236" s="38"/>
      <c r="F236" t="str">
        <f t="shared" si="3"/>
        <v>Same</v>
      </c>
    </row>
    <row r="237" spans="1:6" x14ac:dyDescent="0.25">
      <c r="A237" s="38" t="s">
        <v>592</v>
      </c>
      <c r="B237" s="38" t="s">
        <v>592</v>
      </c>
      <c r="C237" s="38" t="s">
        <v>236</v>
      </c>
      <c r="D237" s="38"/>
      <c r="F237" t="str">
        <f t="shared" si="3"/>
        <v>Same</v>
      </c>
    </row>
    <row r="238" spans="1:6" x14ac:dyDescent="0.25">
      <c r="A238" s="38" t="s">
        <v>593</v>
      </c>
      <c r="B238" s="38" t="s">
        <v>594</v>
      </c>
      <c r="C238" s="38" t="s">
        <v>41</v>
      </c>
      <c r="D238" s="38" t="s">
        <v>595</v>
      </c>
      <c r="F238" t="str">
        <f t="shared" si="3"/>
        <v>Different</v>
      </c>
    </row>
    <row r="239" spans="1:6" x14ac:dyDescent="0.25">
      <c r="A239" s="38" t="s">
        <v>596</v>
      </c>
      <c r="B239" s="38" t="s">
        <v>596</v>
      </c>
      <c r="C239" s="38" t="s">
        <v>597</v>
      </c>
      <c r="D239" s="38"/>
      <c r="F239" t="str">
        <f t="shared" si="3"/>
        <v>Same</v>
      </c>
    </row>
    <row r="240" spans="1:6" x14ac:dyDescent="0.25">
      <c r="A240" s="38" t="s">
        <v>598</v>
      </c>
      <c r="B240" s="38" t="s">
        <v>599</v>
      </c>
      <c r="C240" s="38" t="s">
        <v>197</v>
      </c>
      <c r="D240" s="38" t="s">
        <v>600</v>
      </c>
      <c r="F240" t="str">
        <f t="shared" si="3"/>
        <v>Different</v>
      </c>
    </row>
    <row r="241" spans="1:6" x14ac:dyDescent="0.25">
      <c r="A241" s="38" t="s">
        <v>601</v>
      </c>
      <c r="B241" s="38" t="s">
        <v>602</v>
      </c>
      <c r="C241" s="38" t="s">
        <v>6</v>
      </c>
      <c r="D241" s="38" t="s">
        <v>603</v>
      </c>
      <c r="F241" t="str">
        <f t="shared" si="3"/>
        <v>Different</v>
      </c>
    </row>
    <row r="242" spans="1:6" x14ac:dyDescent="0.25">
      <c r="A242" s="38" t="s">
        <v>604</v>
      </c>
      <c r="B242" s="38" t="s">
        <v>605</v>
      </c>
      <c r="C242" s="38" t="s">
        <v>42</v>
      </c>
      <c r="D242" s="38" t="s">
        <v>606</v>
      </c>
      <c r="F242" t="str">
        <f t="shared" si="3"/>
        <v>Different</v>
      </c>
    </row>
    <row r="243" spans="1:6" ht="30" x14ac:dyDescent="0.25">
      <c r="A243" s="38" t="s">
        <v>607</v>
      </c>
      <c r="B243" s="38" t="s">
        <v>607</v>
      </c>
      <c r="C243" s="38" t="s">
        <v>227</v>
      </c>
      <c r="D243" s="38"/>
      <c r="F243" t="str">
        <f t="shared" si="3"/>
        <v>Same</v>
      </c>
    </row>
    <row r="244" spans="1:6" ht="30" x14ac:dyDescent="0.25">
      <c r="A244" s="38" t="s">
        <v>608</v>
      </c>
      <c r="B244" s="38" t="s">
        <v>608</v>
      </c>
      <c r="C244" s="38" t="s">
        <v>179</v>
      </c>
      <c r="D244" s="38"/>
      <c r="F244" t="str">
        <f t="shared" si="3"/>
        <v>Same</v>
      </c>
    </row>
    <row r="245" spans="1:6" x14ac:dyDescent="0.25">
      <c r="A245" s="38" t="s">
        <v>609</v>
      </c>
      <c r="B245" s="38" t="s">
        <v>609</v>
      </c>
      <c r="C245" s="38" t="s">
        <v>52</v>
      </c>
      <c r="D245" s="38"/>
      <c r="F245" t="str">
        <f t="shared" si="3"/>
        <v>Same</v>
      </c>
    </row>
    <row r="246" spans="1:6" ht="45" x14ac:dyDescent="0.25">
      <c r="A246" s="38" t="s">
        <v>610</v>
      </c>
      <c r="B246" s="38" t="s">
        <v>610</v>
      </c>
      <c r="C246" s="38" t="s">
        <v>195</v>
      </c>
      <c r="D246" s="38"/>
      <c r="F246" t="str">
        <f t="shared" si="3"/>
        <v>Same</v>
      </c>
    </row>
    <row r="247" spans="1:6" x14ac:dyDescent="0.25">
      <c r="A247" s="38" t="s">
        <v>611</v>
      </c>
      <c r="B247" s="38" t="s">
        <v>611</v>
      </c>
      <c r="C247" s="38" t="s">
        <v>81</v>
      </c>
      <c r="D247" s="38"/>
      <c r="F247" t="str">
        <f t="shared" si="3"/>
        <v>Same</v>
      </c>
    </row>
    <row r="248" spans="1:6" x14ac:dyDescent="0.25">
      <c r="A248" s="38" t="s">
        <v>612</v>
      </c>
      <c r="B248" s="38" t="s">
        <v>612</v>
      </c>
      <c r="C248" s="38" t="s">
        <v>46</v>
      </c>
      <c r="D248" s="38"/>
      <c r="F248" t="str">
        <f t="shared" si="3"/>
        <v>Same</v>
      </c>
    </row>
    <row r="249" spans="1:6" x14ac:dyDescent="0.25">
      <c r="A249" s="38" t="s">
        <v>613</v>
      </c>
      <c r="B249" s="38" t="s">
        <v>614</v>
      </c>
      <c r="C249" s="38" t="s">
        <v>136</v>
      </c>
      <c r="D249" s="38" t="s">
        <v>615</v>
      </c>
      <c r="F249" t="str">
        <f t="shared" si="3"/>
        <v>Different</v>
      </c>
    </row>
    <row r="250" spans="1:6" x14ac:dyDescent="0.25">
      <c r="A250" s="38" t="s">
        <v>616</v>
      </c>
      <c r="B250" s="38" t="s">
        <v>616</v>
      </c>
      <c r="C250" s="38" t="s">
        <v>135</v>
      </c>
      <c r="D250" s="38"/>
      <c r="F250" t="str">
        <f t="shared" si="3"/>
        <v>Same</v>
      </c>
    </row>
    <row r="251" spans="1:6" x14ac:dyDescent="0.25">
      <c r="A251" s="38" t="s">
        <v>617</v>
      </c>
      <c r="B251" s="38" t="s">
        <v>617</v>
      </c>
      <c r="C251" s="38" t="s">
        <v>133</v>
      </c>
      <c r="D251" s="38"/>
      <c r="F251" t="str">
        <f t="shared" si="3"/>
        <v>Same</v>
      </c>
    </row>
    <row r="252" spans="1:6" x14ac:dyDescent="0.25">
      <c r="A252" s="38" t="s">
        <v>618</v>
      </c>
      <c r="B252" s="38" t="s">
        <v>618</v>
      </c>
      <c r="C252" s="38" t="s">
        <v>106</v>
      </c>
      <c r="D252" s="38"/>
      <c r="F252" t="str">
        <f t="shared" si="3"/>
        <v>Same</v>
      </c>
    </row>
    <row r="253" spans="1:6" x14ac:dyDescent="0.25">
      <c r="A253" s="38" t="s">
        <v>619</v>
      </c>
      <c r="B253" s="38" t="s">
        <v>619</v>
      </c>
      <c r="C253" s="38" t="s">
        <v>127</v>
      </c>
      <c r="D253" s="38"/>
      <c r="F253" t="str">
        <f t="shared" si="3"/>
        <v>Same</v>
      </c>
    </row>
    <row r="254" spans="1:6" x14ac:dyDescent="0.25">
      <c r="A254" s="38" t="s">
        <v>620</v>
      </c>
      <c r="B254" s="38" t="s">
        <v>620</v>
      </c>
      <c r="C254" s="38" t="s">
        <v>621</v>
      </c>
      <c r="D254" s="38"/>
      <c r="F254" t="str">
        <f t="shared" si="3"/>
        <v>Same</v>
      </c>
    </row>
    <row r="255" spans="1:6" x14ac:dyDescent="0.25">
      <c r="A255" s="38" t="s">
        <v>622</v>
      </c>
      <c r="B255" s="38" t="s">
        <v>622</v>
      </c>
      <c r="C255" s="38" t="s">
        <v>189</v>
      </c>
      <c r="D255" s="38"/>
      <c r="F255" t="str">
        <f t="shared" si="3"/>
        <v>Same</v>
      </c>
    </row>
    <row r="256" spans="1:6" x14ac:dyDescent="0.25">
      <c r="A256" s="38" t="s">
        <v>623</v>
      </c>
      <c r="B256" s="38" t="s">
        <v>623</v>
      </c>
      <c r="C256" s="38" t="s">
        <v>184</v>
      </c>
      <c r="D256" s="38"/>
      <c r="F256" t="str">
        <f t="shared" si="3"/>
        <v>Same</v>
      </c>
    </row>
    <row r="257" spans="1:6" x14ac:dyDescent="0.25">
      <c r="A257" s="38" t="s">
        <v>624</v>
      </c>
      <c r="B257" s="38" t="s">
        <v>624</v>
      </c>
      <c r="C257" s="38" t="s">
        <v>26</v>
      </c>
      <c r="D257" s="38"/>
      <c r="F257" t="str">
        <f t="shared" si="3"/>
        <v>Same</v>
      </c>
    </row>
    <row r="258" spans="1:6" x14ac:dyDescent="0.25">
      <c r="A258" s="38" t="s">
        <v>625</v>
      </c>
      <c r="B258" s="38" t="s">
        <v>626</v>
      </c>
      <c r="C258" s="38" t="s">
        <v>16</v>
      </c>
      <c r="D258" s="38" t="s">
        <v>627</v>
      </c>
      <c r="F258" t="str">
        <f t="shared" si="3"/>
        <v>Different</v>
      </c>
    </row>
    <row r="259" spans="1:6" x14ac:dyDescent="0.25">
      <c r="A259" s="38" t="s">
        <v>628</v>
      </c>
      <c r="B259" s="38" t="s">
        <v>628</v>
      </c>
      <c r="C259" s="38" t="s">
        <v>629</v>
      </c>
      <c r="D259" s="38"/>
      <c r="F259" t="str">
        <f t="shared" ref="F259:F262" si="4">IF(A259&lt;&gt;B259,"Different","Same")</f>
        <v>Same</v>
      </c>
    </row>
    <row r="260" spans="1:6" x14ac:dyDescent="0.25">
      <c r="A260" s="38" t="s">
        <v>630</v>
      </c>
      <c r="B260" s="38" t="s">
        <v>630</v>
      </c>
      <c r="C260" s="38" t="s">
        <v>150</v>
      </c>
      <c r="D260" s="38"/>
      <c r="F260" t="str">
        <f t="shared" si="4"/>
        <v>Same</v>
      </c>
    </row>
    <row r="261" spans="1:6" x14ac:dyDescent="0.25">
      <c r="A261" s="38" t="s">
        <v>631</v>
      </c>
      <c r="B261" s="38" t="s">
        <v>631</v>
      </c>
      <c r="C261" s="38" t="s">
        <v>203</v>
      </c>
      <c r="D261" s="38"/>
      <c r="F261" t="str">
        <f t="shared" si="4"/>
        <v>Same</v>
      </c>
    </row>
    <row r="262" spans="1:6" x14ac:dyDescent="0.25">
      <c r="A262" s="38" t="s">
        <v>632</v>
      </c>
      <c r="B262" s="38" t="s">
        <v>632</v>
      </c>
      <c r="C262" s="38" t="s">
        <v>633</v>
      </c>
      <c r="D262" s="38"/>
      <c r="F262" t="str">
        <f t="shared" si="4"/>
        <v>Same</v>
      </c>
    </row>
  </sheetData>
  <autoFilter ref="A1:D26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00"/>
  <sheetViews>
    <sheetView zoomScale="85" zoomScaleNormal="85" workbookViewId="0">
      <selection activeCell="M29" sqref="M29"/>
    </sheetView>
  </sheetViews>
  <sheetFormatPr defaultColWidth="14.42578125" defaultRowHeight="15" customHeight="1" x14ac:dyDescent="0.25"/>
  <cols>
    <col min="1" max="3" width="2.85546875" style="37" bestFit="1" customWidth="1"/>
    <col min="4" max="4" width="5.5703125" style="37" customWidth="1"/>
    <col min="5" max="7" width="2.140625" style="37" bestFit="1" customWidth="1"/>
    <col min="8" max="8" width="5.5703125" style="37" customWidth="1"/>
    <col min="9" max="9" width="3.28515625" style="37" bestFit="1" customWidth="1"/>
    <col min="10" max="11" width="2.85546875" style="37" bestFit="1" customWidth="1"/>
    <col min="12" max="12" width="5.5703125" style="37" customWidth="1"/>
    <col min="13" max="13" width="25" style="37" bestFit="1" customWidth="1"/>
    <col min="14" max="16" width="2.140625" style="37" bestFit="1" customWidth="1"/>
    <col min="17" max="17" width="5.5703125" style="37" customWidth="1"/>
    <col min="18" max="18" width="2.140625" style="37" bestFit="1" customWidth="1"/>
    <col min="19" max="19" width="3.28515625" style="37" bestFit="1" customWidth="1"/>
    <col min="20" max="20" width="5.5703125" style="37" customWidth="1"/>
    <col min="21" max="21" width="3.28515625" style="37" bestFit="1" customWidth="1"/>
    <col min="22" max="22" width="14.85546875" style="37" bestFit="1" customWidth="1"/>
    <col min="23" max="23" width="13.42578125" style="37" bestFit="1" customWidth="1"/>
    <col min="24" max="24" width="9.85546875" style="37" bestFit="1" customWidth="1"/>
    <col min="25" max="25" width="6.28515625" style="37" bestFit="1" customWidth="1"/>
    <col min="26" max="26" width="10" style="37" bestFit="1" customWidth="1"/>
    <col min="27" max="27" width="6.7109375" style="37" bestFit="1" customWidth="1"/>
    <col min="28" max="30" width="8.140625" style="37" bestFit="1" customWidth="1"/>
    <col min="31" max="32" width="2.140625" style="37" bestFit="1" customWidth="1"/>
  </cols>
  <sheetData>
    <row r="1" spans="1:32" x14ac:dyDescent="0.25">
      <c r="A1" s="36">
        <f>IF('Character Sheet'!M24=0,"",VLOOKUP('Character Sheet'!M24,A25:D31,3,FALSE))</f>
        <v>-4</v>
      </c>
      <c r="B1" s="36">
        <f>IF('Character Sheet'!AE24=0,"",VLOOKUP('Character Sheet'!AE24,A25:D31,3,FALSE))</f>
        <v>-4</v>
      </c>
      <c r="C1" s="36">
        <f>IF('Character Sheet'!AW24=0,"",VLOOKUP('Character Sheet'!AW24,A25:D31,3,FALSE))</f>
        <v>-4</v>
      </c>
      <c r="D1" s="36"/>
      <c r="E1" s="36">
        <f>'Character Sheet'!R24</f>
        <v>0</v>
      </c>
      <c r="F1" s="36">
        <f>'Character Sheet'!AJ24</f>
        <v>0</v>
      </c>
      <c r="G1" s="36">
        <f>'Character Sheet'!BB24</f>
        <v>0</v>
      </c>
      <c r="H1" s="36"/>
      <c r="I1" s="36">
        <f t="shared" ref="I1:K8" si="0">IF(A1=0,"",IF(A1+E1&gt;0,"+"&amp;A1+E1,A1+E1))</f>
        <v>-4</v>
      </c>
      <c r="J1" s="36">
        <f t="shared" si="0"/>
        <v>-4</v>
      </c>
      <c r="K1" s="36">
        <f t="shared" si="0"/>
        <v>-4</v>
      </c>
      <c r="L1" s="36"/>
      <c r="M1" s="36">
        <v>0</v>
      </c>
      <c r="N1" s="36">
        <v>0</v>
      </c>
      <c r="O1" s="36">
        <f>'Character Sheet'!Q50</f>
        <v>0</v>
      </c>
      <c r="P1" s="36">
        <f>VLOOKUP(O1,M1:N9,2,FALSE)</f>
        <v>0</v>
      </c>
      <c r="Q1" s="36" t="str">
        <f t="shared" ref="Q1:Q24" si="1">IF(P1=0,"",IF(P1&gt;0,"+"&amp;P1,P1))</f>
        <v/>
      </c>
      <c r="R1" s="36">
        <f>IF('Character Sheet'!V50=0,"",VLOOKUP('Character Sheet'!V50,A23:D31,3,FALSE))</f>
        <v>0</v>
      </c>
      <c r="S1" s="36" t="str">
        <f t="shared" ref="S1:S24" si="2">IF(R1=0,"",IF(R1&gt;0,"+"&amp;R1,R1))</f>
        <v/>
      </c>
      <c r="T1" s="36"/>
      <c r="U1" s="36"/>
      <c r="V1" s="36">
        <f>'Character Sheet'!R6+'Character Sheet'!AC5</f>
        <v>0</v>
      </c>
      <c r="W1" s="36" t="s">
        <v>271</v>
      </c>
      <c r="X1" s="36" t="s">
        <v>9</v>
      </c>
      <c r="Y1" s="36" t="s">
        <v>13</v>
      </c>
      <c r="Z1" s="36" t="s">
        <v>293</v>
      </c>
      <c r="AA1" s="36" t="s">
        <v>597</v>
      </c>
      <c r="AB1" s="36" t="s">
        <v>428</v>
      </c>
      <c r="AC1" s="36" t="s">
        <v>430</v>
      </c>
      <c r="AD1" s="36" t="s">
        <v>432</v>
      </c>
      <c r="AE1" s="36"/>
      <c r="AF1" s="36"/>
    </row>
    <row r="2" spans="1:32" x14ac:dyDescent="0.25">
      <c r="A2" s="36">
        <f>IF('Character Sheet'!M25=0,"",VLOOKUP('Character Sheet'!M25,A25:D31,3,FALSE))</f>
        <v>-4</v>
      </c>
      <c r="B2" s="36">
        <f>IF('Character Sheet'!AE25=0,"",VLOOKUP('Character Sheet'!AE25,A25:D31,3,FALSE))</f>
        <v>-4</v>
      </c>
      <c r="C2" s="36">
        <f>IF('Character Sheet'!AW25=0,"",VLOOKUP('Character Sheet'!AW25,A25:D31,3,FALSE))</f>
        <v>-4</v>
      </c>
      <c r="D2" s="36"/>
      <c r="E2" s="36">
        <f>'Character Sheet'!R25</f>
        <v>0</v>
      </c>
      <c r="F2" s="36">
        <f>'Character Sheet'!AJ25</f>
        <v>0</v>
      </c>
      <c r="G2" s="36">
        <f>'Character Sheet'!BB25</f>
        <v>0</v>
      </c>
      <c r="H2" s="36"/>
      <c r="I2" s="36">
        <f t="shared" si="0"/>
        <v>-4</v>
      </c>
      <c r="J2" s="36">
        <f t="shared" si="0"/>
        <v>-4</v>
      </c>
      <c r="K2" s="36">
        <f t="shared" si="0"/>
        <v>-4</v>
      </c>
      <c r="L2" s="36"/>
      <c r="M2" s="36" t="s">
        <v>12</v>
      </c>
      <c r="N2" s="36">
        <f>'Character Sheet'!R4+'Character Sheet'!T4+'Character Sheet'!V4</f>
        <v>0</v>
      </c>
      <c r="O2" s="36">
        <f>'Character Sheet'!Q51</f>
        <v>0</v>
      </c>
      <c r="P2" s="36">
        <f>VLOOKUP(O2,M1:N9,2,FALSE)</f>
        <v>0</v>
      </c>
      <c r="Q2" s="36" t="str">
        <f t="shared" si="1"/>
        <v/>
      </c>
      <c r="R2" s="36">
        <f>IF('Character Sheet'!V51=0,"",VLOOKUP('Character Sheet'!V51,A23:D31,3,FALSE))</f>
        <v>0</v>
      </c>
      <c r="S2" s="36" t="str">
        <f t="shared" si="2"/>
        <v/>
      </c>
      <c r="T2" s="36" t="str">
        <f t="shared" ref="T2:T9" si="3">IF(N2=0,"",IF(N2&gt;0,"+"&amp;N2,N2))</f>
        <v/>
      </c>
      <c r="U2" s="36"/>
      <c r="V2" s="36" t="str">
        <f>'Character Sheet'!K7</f>
        <v>None</v>
      </c>
      <c r="W2" s="36" t="s">
        <v>26</v>
      </c>
      <c r="X2" s="36" t="s">
        <v>32</v>
      </c>
      <c r="Y2" s="36">
        <v>0</v>
      </c>
      <c r="Z2" s="36">
        <v>1</v>
      </c>
      <c r="AA2" s="36">
        <f>N6*Y2</f>
        <v>0</v>
      </c>
      <c r="AB2" s="36">
        <f>(V1+AA2)*Z2</f>
        <v>0</v>
      </c>
      <c r="AC2" s="36">
        <v>0</v>
      </c>
      <c r="AD2" s="36">
        <f t="shared" ref="AD2:AD15" si="4">AB2+AC2</f>
        <v>0</v>
      </c>
      <c r="AE2" s="36"/>
      <c r="AF2" s="36"/>
    </row>
    <row r="3" spans="1:32" x14ac:dyDescent="0.25">
      <c r="A3" s="36">
        <f>IF('Character Sheet'!M26=0,"",VLOOKUP('Character Sheet'!M26,A25:D31,3,FALSE))</f>
        <v>-4</v>
      </c>
      <c r="B3" s="36">
        <f>IF('Character Sheet'!AE26=0,"",VLOOKUP('Character Sheet'!AE26,A25:D31,3,FALSE))</f>
        <v>-4</v>
      </c>
      <c r="C3" s="36">
        <f>IF('Character Sheet'!AW26=0,"",VLOOKUP('Character Sheet'!AW26,A25:D31,3,FALSE))</f>
        <v>-4</v>
      </c>
      <c r="D3" s="36"/>
      <c r="E3" s="36">
        <f>'Character Sheet'!R26</f>
        <v>0</v>
      </c>
      <c r="F3" s="36">
        <f>'Character Sheet'!AJ26</f>
        <v>0</v>
      </c>
      <c r="G3" s="36">
        <f>'Character Sheet'!BB26</f>
        <v>0</v>
      </c>
      <c r="H3" s="36"/>
      <c r="I3" s="36">
        <f t="shared" si="0"/>
        <v>-4</v>
      </c>
      <c r="J3" s="36">
        <f t="shared" si="0"/>
        <v>-4</v>
      </c>
      <c r="K3" s="36">
        <f t="shared" si="0"/>
        <v>-4</v>
      </c>
      <c r="L3" s="36"/>
      <c r="M3" s="36" t="s">
        <v>20</v>
      </c>
      <c r="N3" s="36">
        <f>'Character Sheet'!R5+'Character Sheet'!T5+'Character Sheet'!V5</f>
        <v>0</v>
      </c>
      <c r="O3" s="36">
        <f>'Character Sheet'!Q52</f>
        <v>0</v>
      </c>
      <c r="P3" s="36">
        <f>VLOOKUP(O3,M1:N9,2,FALSE)</f>
        <v>0</v>
      </c>
      <c r="Q3" s="36" t="str">
        <f t="shared" si="1"/>
        <v/>
      </c>
      <c r="R3" s="36">
        <f>IF('Character Sheet'!V52=0,"",VLOOKUP('Character Sheet'!V52,A23:D31,3,FALSE))</f>
        <v>0</v>
      </c>
      <c r="S3" s="36" t="str">
        <f t="shared" si="2"/>
        <v/>
      </c>
      <c r="T3" s="36" t="str">
        <f t="shared" si="3"/>
        <v/>
      </c>
      <c r="U3" s="36"/>
      <c r="V3" s="36" t="str">
        <f>'Character Sheet'!K6</f>
        <v>Mortal</v>
      </c>
      <c r="W3" s="36" t="s">
        <v>276</v>
      </c>
      <c r="X3" s="36">
        <v>9</v>
      </c>
      <c r="Y3" s="36">
        <v>1</v>
      </c>
      <c r="Z3" s="36">
        <v>1</v>
      </c>
      <c r="AA3" s="36">
        <f>N7*Y3</f>
        <v>0</v>
      </c>
      <c r="AB3" s="36">
        <f>(V1+AA3)*Z3</f>
        <v>0</v>
      </c>
      <c r="AC3" s="36">
        <v>0</v>
      </c>
      <c r="AD3" s="36">
        <f t="shared" si="4"/>
        <v>0</v>
      </c>
      <c r="AE3" s="36"/>
      <c r="AF3" s="36"/>
    </row>
    <row r="4" spans="1:32" x14ac:dyDescent="0.25">
      <c r="A4" s="36">
        <f>IF('Character Sheet'!M27=0,"",VLOOKUP('Character Sheet'!M27,A25:D31,3,FALSE))</f>
        <v>-4</v>
      </c>
      <c r="B4" s="36">
        <f>IF('Character Sheet'!AE27=0,"",VLOOKUP('Character Sheet'!AE27,A25:D31,3,FALSE))</f>
        <v>-4</v>
      </c>
      <c r="C4" s="36">
        <f>IF('Character Sheet'!AW27=0,"",VLOOKUP('Character Sheet'!AW27,A25:D31,3,FALSE))</f>
        <v>-4</v>
      </c>
      <c r="D4" s="36"/>
      <c r="E4" s="36">
        <f>'Character Sheet'!R27</f>
        <v>0</v>
      </c>
      <c r="F4" s="36">
        <f>'Character Sheet'!AJ27</f>
        <v>0</v>
      </c>
      <c r="G4" s="36">
        <f>'Character Sheet'!BB27</f>
        <v>0</v>
      </c>
      <c r="H4" s="36"/>
      <c r="I4" s="36">
        <f t="shared" si="0"/>
        <v>-4</v>
      </c>
      <c r="J4" s="36">
        <f t="shared" si="0"/>
        <v>-4</v>
      </c>
      <c r="K4" s="36">
        <f t="shared" si="0"/>
        <v>-4</v>
      </c>
      <c r="L4" s="36"/>
      <c r="M4" s="36" t="s">
        <v>27</v>
      </c>
      <c r="N4" s="36">
        <f>'Character Sheet'!R6+'Character Sheet'!T6+'Character Sheet'!V6</f>
        <v>0</v>
      </c>
      <c r="O4" s="36">
        <f>'Character Sheet'!Q53</f>
        <v>0</v>
      </c>
      <c r="P4" s="36">
        <f>VLOOKUP(O4,M1:N9,2,FALSE)</f>
        <v>0</v>
      </c>
      <c r="Q4" s="36" t="str">
        <f t="shared" si="1"/>
        <v/>
      </c>
      <c r="R4" s="36">
        <f>IF('Character Sheet'!V53=0,"",VLOOKUP('Character Sheet'!V53,A23:D31,3,FALSE))</f>
        <v>0</v>
      </c>
      <c r="S4" s="36" t="str">
        <f t="shared" si="2"/>
        <v/>
      </c>
      <c r="T4" s="36" t="str">
        <f t="shared" si="3"/>
        <v/>
      </c>
      <c r="U4" s="36"/>
      <c r="V4" s="36">
        <f>SUM('Character Sheet'!AZ4:BA13)/5</f>
        <v>0</v>
      </c>
      <c r="W4" s="36" t="s">
        <v>276</v>
      </c>
      <c r="X4" s="36">
        <v>8</v>
      </c>
      <c r="Y4" s="36">
        <v>2</v>
      </c>
      <c r="Z4" s="36">
        <v>1</v>
      </c>
      <c r="AA4" s="36">
        <f>N7*Y4</f>
        <v>0</v>
      </c>
      <c r="AB4" s="36">
        <f>(V1+AA4)*Z4</f>
        <v>0</v>
      </c>
      <c r="AC4" s="36">
        <v>0</v>
      </c>
      <c r="AD4" s="36">
        <f t="shared" si="4"/>
        <v>0</v>
      </c>
      <c r="AE4" s="36"/>
      <c r="AF4" s="36"/>
    </row>
    <row r="5" spans="1:32" x14ac:dyDescent="0.25">
      <c r="A5" s="36">
        <f>IF('Character Sheet'!M28=0,"",VLOOKUP('Character Sheet'!M28,A25:D31,3,FALSE))</f>
        <v>-4</v>
      </c>
      <c r="B5" s="36">
        <f>IF('Character Sheet'!AE28=0,"",VLOOKUP('Character Sheet'!AE28,A25:D31,3,FALSE))</f>
        <v>-4</v>
      </c>
      <c r="C5" s="36">
        <f>IF('Character Sheet'!AW28=0,"",VLOOKUP('Character Sheet'!AW28,A25:D31,3,FALSE))</f>
        <v>-4</v>
      </c>
      <c r="D5" s="36"/>
      <c r="E5" s="36">
        <f>'Character Sheet'!R28</f>
        <v>0</v>
      </c>
      <c r="F5" s="36">
        <f>'Character Sheet'!AJ28</f>
        <v>0</v>
      </c>
      <c r="G5" s="36">
        <f>'Character Sheet'!BB28</f>
        <v>0</v>
      </c>
      <c r="H5" s="36"/>
      <c r="I5" s="36">
        <f t="shared" si="0"/>
        <v>-4</v>
      </c>
      <c r="J5" s="36">
        <f t="shared" si="0"/>
        <v>-4</v>
      </c>
      <c r="K5" s="36">
        <f t="shared" si="0"/>
        <v>-4</v>
      </c>
      <c r="L5" s="36"/>
      <c r="M5" s="36" t="s">
        <v>33</v>
      </c>
      <c r="N5" s="36">
        <f>'Character Sheet'!R7+'Character Sheet'!T7+'Character Sheet'!V7</f>
        <v>0</v>
      </c>
      <c r="O5" s="36">
        <f>'Character Sheet'!Q54</f>
        <v>0</v>
      </c>
      <c r="P5" s="36">
        <f>VLOOKUP(O5,M1:N9,2,FALSE)</f>
        <v>0</v>
      </c>
      <c r="Q5" s="36" t="str">
        <f t="shared" si="1"/>
        <v/>
      </c>
      <c r="R5" s="36">
        <f>IF('Character Sheet'!V54=0,"",VLOOKUP('Character Sheet'!V54,A23:D31,3,FALSE))</f>
        <v>0</v>
      </c>
      <c r="S5" s="36" t="str">
        <f t="shared" si="2"/>
        <v/>
      </c>
      <c r="T5" s="36" t="str">
        <f t="shared" si="3"/>
        <v/>
      </c>
      <c r="U5" s="36" t="str">
        <f>'Character Sheet'!T19</f>
        <v>×</v>
      </c>
      <c r="V5" s="36">
        <f>INT(V4)</f>
        <v>0</v>
      </c>
      <c r="W5" s="36" t="s">
        <v>260</v>
      </c>
      <c r="X5" s="36">
        <v>7</v>
      </c>
      <c r="Y5" s="36">
        <v>3</v>
      </c>
      <c r="Z5" s="36">
        <v>1</v>
      </c>
      <c r="AA5" s="36">
        <f>N7*Y5</f>
        <v>0</v>
      </c>
      <c r="AB5" s="36">
        <f>(V1+AA5)*Z5</f>
        <v>0</v>
      </c>
      <c r="AC5" s="36">
        <v>0</v>
      </c>
      <c r="AD5" s="36">
        <f t="shared" si="4"/>
        <v>0</v>
      </c>
      <c r="AE5" s="36"/>
      <c r="AF5" s="36"/>
    </row>
    <row r="6" spans="1:32" x14ac:dyDescent="0.25">
      <c r="A6" s="36">
        <f>IF('Character Sheet'!M29=0,"",VLOOKUP('Character Sheet'!M29,A25:D31,3,FALSE))</f>
        <v>-4</v>
      </c>
      <c r="B6" s="36">
        <f>IF('Character Sheet'!AE29=0,"",VLOOKUP('Character Sheet'!AE29,A25:D31,3,FALSE))</f>
        <v>-4</v>
      </c>
      <c r="C6" s="36">
        <f>IF('Character Sheet'!AW29=0,"",VLOOKUP('Character Sheet'!AW29,A25:D31,3,FALSE))</f>
        <v>-4</v>
      </c>
      <c r="D6" s="36"/>
      <c r="E6" s="36">
        <f>'Character Sheet'!R29</f>
        <v>0</v>
      </c>
      <c r="F6" s="36">
        <f>'Character Sheet'!AJ29</f>
        <v>0</v>
      </c>
      <c r="G6" s="36">
        <f>'Character Sheet'!BB29</f>
        <v>0</v>
      </c>
      <c r="H6" s="36"/>
      <c r="I6" s="36">
        <f t="shared" si="0"/>
        <v>-4</v>
      </c>
      <c r="J6" s="36">
        <f t="shared" si="0"/>
        <v>-4</v>
      </c>
      <c r="K6" s="36">
        <f t="shared" si="0"/>
        <v>-4</v>
      </c>
      <c r="L6" s="36"/>
      <c r="M6" s="36" t="s">
        <v>16</v>
      </c>
      <c r="N6" s="36">
        <f>'Character Sheet'!AC4+'Character Sheet'!AE4+'Character Sheet'!AG4</f>
        <v>0</v>
      </c>
      <c r="O6" s="36">
        <f>'Character Sheet'!Q55</f>
        <v>0</v>
      </c>
      <c r="P6" s="36">
        <f>VLOOKUP(O6,M1:N9,2,FALSE)</f>
        <v>0</v>
      </c>
      <c r="Q6" s="36" t="str">
        <f t="shared" si="1"/>
        <v/>
      </c>
      <c r="R6" s="36">
        <f>IF('Character Sheet'!V55=0,"",VLOOKUP('Character Sheet'!V55,A23:D31,3,FALSE))</f>
        <v>0</v>
      </c>
      <c r="S6" s="36" t="str">
        <f t="shared" si="2"/>
        <v/>
      </c>
      <c r="T6" s="36" t="str">
        <f t="shared" si="3"/>
        <v/>
      </c>
      <c r="U6" s="36">
        <f>IF(V2=1,IF(V3="Angel King",AD13,VLOOKUP(V2,X1:AD15,7,FALSE)),IF(V2=0,IF(V3="Old One",AD14,IF(V3="Pillar",AD15,VLOOKUP(V2,X1:AD15,7,FALSE))),VLOOKUP(V2,X1:AD15,7,FALSE)))+V5</f>
        <v>0</v>
      </c>
      <c r="V6" s="36">
        <f>IF(U5="√",U6*2,U6)</f>
        <v>0</v>
      </c>
      <c r="W6" s="36" t="s">
        <v>260</v>
      </c>
      <c r="X6" s="36">
        <v>6</v>
      </c>
      <c r="Y6" s="36">
        <v>4</v>
      </c>
      <c r="Z6" s="36">
        <v>1</v>
      </c>
      <c r="AA6" s="36">
        <f>N7*Y6</f>
        <v>0</v>
      </c>
      <c r="AB6" s="36">
        <f>(V1+AA6)*Z6</f>
        <v>0</v>
      </c>
      <c r="AC6" s="36">
        <v>0</v>
      </c>
      <c r="AD6" s="36">
        <f t="shared" si="4"/>
        <v>0</v>
      </c>
      <c r="AE6" s="36"/>
      <c r="AF6" s="36"/>
    </row>
    <row r="7" spans="1:32" x14ac:dyDescent="0.25">
      <c r="A7" s="36">
        <f>IF('Character Sheet'!M30=0,"",VLOOKUP('Character Sheet'!M30,A25:D31,3,FALSE))</f>
        <v>-4</v>
      </c>
      <c r="B7" s="36">
        <f>IF('Character Sheet'!AE30=0,"",VLOOKUP('Character Sheet'!AE30,A25:D31,3,FALSE))</f>
        <v>-4</v>
      </c>
      <c r="C7" s="36">
        <f>IF('Character Sheet'!AW30=0,"",VLOOKUP('Character Sheet'!AW30,A25:D31,3,FALSE))</f>
        <v>-4</v>
      </c>
      <c r="D7" s="36"/>
      <c r="E7" s="36">
        <f>'Character Sheet'!R30</f>
        <v>0</v>
      </c>
      <c r="F7" s="36">
        <f>'Character Sheet'!AJ30</f>
        <v>0</v>
      </c>
      <c r="G7" s="36">
        <f>'Character Sheet'!BB30</f>
        <v>0</v>
      </c>
      <c r="H7" s="36"/>
      <c r="I7" s="36">
        <f t="shared" si="0"/>
        <v>-4</v>
      </c>
      <c r="J7" s="36">
        <f t="shared" si="0"/>
        <v>-4</v>
      </c>
      <c r="K7" s="36">
        <f t="shared" si="0"/>
        <v>-4</v>
      </c>
      <c r="L7" s="36"/>
      <c r="M7" s="36" t="s">
        <v>472</v>
      </c>
      <c r="N7" s="36">
        <f>'Character Sheet'!AC5+'Character Sheet'!AE5+'Character Sheet'!AG5</f>
        <v>0</v>
      </c>
      <c r="O7" s="36">
        <f>'Character Sheet'!Q56</f>
        <v>0</v>
      </c>
      <c r="P7" s="36">
        <f>VLOOKUP(O7,M1:N9,2,FALSE)</f>
        <v>0</v>
      </c>
      <c r="Q7" s="36" t="str">
        <f t="shared" si="1"/>
        <v/>
      </c>
      <c r="R7" s="36">
        <f>IF('Character Sheet'!V56=0,"",VLOOKUP('Character Sheet'!V56,A23:D31,3,FALSE))</f>
        <v>0</v>
      </c>
      <c r="S7" s="36" t="str">
        <f t="shared" si="2"/>
        <v/>
      </c>
      <c r="T7" s="36" t="str">
        <f t="shared" si="3"/>
        <v/>
      </c>
      <c r="U7" s="36">
        <f>(((((((10+'Character Sheet'!R7+IF(V2&lt;=9,SUM(V18:W18),0)+IF(V2&lt;=8,SUM(V18:X18),0)+IF(V2&lt;=7,SUM(V18:Y18),0)+IF(V2&lt;=6,SUM(V18:Z18),0)+IF(V2&lt;=5,SUM(V18:AA18),0)+IF(V2&lt;=4,SUM(V18:AB18)*2,0))*IF(V2&lt;=4,2,1))+IF(V2&lt;=3,SUM(V18:AC18)*2,0)+IF(V2&lt;=2,SUM(V18:AD18)*3,0))*IF(V2&lt;=2,2,1)+IF(V2&lt;=1,SUM(V18:AE18)*3,0))*IF(V3="Angel King",1.5,IF(V3="True God",1.5,IF(V3="Old One",1.5,IF(V3="Pillar",1.5,1))))+IF(V2=0,SUM(V18:AF18)*4,0))*IF(V2=0,2,1))*IF(V3="Old One",3,IF(V3="Pillar",3,1)))*IF(V3="Pillar",4,1)+V5</f>
        <v>10</v>
      </c>
      <c r="V7" s="36">
        <f>IF(U5="√",U7*2,U7)</f>
        <v>10</v>
      </c>
      <c r="W7" s="36" t="s">
        <v>260</v>
      </c>
      <c r="X7" s="36">
        <v>5</v>
      </c>
      <c r="Y7" s="36">
        <v>5</v>
      </c>
      <c r="Z7" s="36">
        <v>1</v>
      </c>
      <c r="AA7" s="36">
        <f>N7*Y7</f>
        <v>0</v>
      </c>
      <c r="AB7" s="36">
        <f>(V1+AA7)*Z7</f>
        <v>0</v>
      </c>
      <c r="AC7" s="36">
        <v>0</v>
      </c>
      <c r="AD7" s="36">
        <f t="shared" si="4"/>
        <v>0</v>
      </c>
      <c r="AE7" s="36"/>
      <c r="AF7" s="36"/>
    </row>
    <row r="8" spans="1:32" x14ac:dyDescent="0.25">
      <c r="A8" s="36">
        <f>IF('Character Sheet'!M31=0,"",VLOOKUP('Character Sheet'!M31,A25:D31,3,FALSE))</f>
        <v>-4</v>
      </c>
      <c r="B8" s="36">
        <f>IF('Character Sheet'!AE31=0,"",VLOOKUP('Character Sheet'!AE31,A25:D31,3,FALSE))</f>
        <v>-4</v>
      </c>
      <c r="C8" s="36">
        <f>IF('Character Sheet'!AW31=0,"",VLOOKUP('Character Sheet'!AW31,A25:D31,3,FALSE))</f>
        <v>-4</v>
      </c>
      <c r="D8" s="36"/>
      <c r="E8" s="36">
        <f>'Character Sheet'!R31</f>
        <v>0</v>
      </c>
      <c r="F8" s="36">
        <f>'Character Sheet'!AJ31</f>
        <v>0</v>
      </c>
      <c r="G8" s="36">
        <f>'Character Sheet'!BB31</f>
        <v>0</v>
      </c>
      <c r="H8" s="36"/>
      <c r="I8" s="36">
        <f t="shared" si="0"/>
        <v>-4</v>
      </c>
      <c r="J8" s="36">
        <f t="shared" si="0"/>
        <v>-4</v>
      </c>
      <c r="K8" s="36">
        <f t="shared" si="0"/>
        <v>-4</v>
      </c>
      <c r="L8" s="36"/>
      <c r="M8" s="36" t="s">
        <v>28</v>
      </c>
      <c r="N8" s="36">
        <f>'Character Sheet'!AC6+'Character Sheet'!AE6+'Character Sheet'!AG6</f>
        <v>0</v>
      </c>
      <c r="O8" s="36">
        <f>'Character Sheet'!Q57</f>
        <v>0</v>
      </c>
      <c r="P8" s="36">
        <f>VLOOKUP(O8,M1:N9,2,FALSE)</f>
        <v>0</v>
      </c>
      <c r="Q8" s="36" t="str">
        <f t="shared" si="1"/>
        <v/>
      </c>
      <c r="R8" s="36">
        <f>IF('Character Sheet'!V57=0,"",VLOOKUP('Character Sheet'!V57,A23:D31,3,FALSE))</f>
        <v>0</v>
      </c>
      <c r="S8" s="36" t="str">
        <f t="shared" si="2"/>
        <v/>
      </c>
      <c r="T8" s="36" t="str">
        <f t="shared" si="3"/>
        <v/>
      </c>
      <c r="U8" s="36"/>
      <c r="V8" s="36"/>
      <c r="W8" s="36" t="s">
        <v>621</v>
      </c>
      <c r="X8" s="36">
        <v>4</v>
      </c>
      <c r="Y8" s="36">
        <v>6</v>
      </c>
      <c r="Z8" s="36">
        <v>2</v>
      </c>
      <c r="AA8" s="36">
        <f>N7*Y8</f>
        <v>0</v>
      </c>
      <c r="AB8" s="36">
        <f>(V1+AA8)*Z8</f>
        <v>0</v>
      </c>
      <c r="AC8" s="36">
        <v>0</v>
      </c>
      <c r="AD8" s="36">
        <f t="shared" si="4"/>
        <v>0</v>
      </c>
      <c r="AE8" s="36"/>
      <c r="AF8" s="36"/>
    </row>
    <row r="9" spans="1:32" x14ac:dyDescent="0.25">
      <c r="A9" s="36"/>
      <c r="B9" s="36"/>
      <c r="C9" s="36">
        <f>IF('Character Sheet'!AW32=0,"",VLOOKUP('Character Sheet'!AW32,A25:D31,3,FALSE))</f>
        <v>-4</v>
      </c>
      <c r="D9" s="36"/>
      <c r="E9" s="36"/>
      <c r="F9" s="36"/>
      <c r="G9" s="36">
        <f>'Character Sheet'!BB32</f>
        <v>0</v>
      </c>
      <c r="H9" s="36"/>
      <c r="I9" s="36"/>
      <c r="J9" s="36"/>
      <c r="K9" s="36">
        <f t="shared" ref="K9:K22" si="5">IF(C9=0,"",IF(C9+G9&gt;0,"+"&amp;C9+G9,C9+G9))</f>
        <v>-4</v>
      </c>
      <c r="L9" s="36"/>
      <c r="M9" s="36" t="s">
        <v>34</v>
      </c>
      <c r="N9" s="36">
        <f>'Character Sheet'!AC7+'Character Sheet'!AE7+'Character Sheet'!AG7</f>
        <v>0</v>
      </c>
      <c r="O9" s="36">
        <f>'Character Sheet'!Q58</f>
        <v>0</v>
      </c>
      <c r="P9" s="36">
        <f>VLOOKUP(O9,M1:N9,2,FALSE)</f>
        <v>0</v>
      </c>
      <c r="Q9" s="36" t="str">
        <f t="shared" si="1"/>
        <v/>
      </c>
      <c r="R9" s="36">
        <f>IF('Character Sheet'!V58=0,"",VLOOKUP('Character Sheet'!V58,A23:D31,3,FALSE))</f>
        <v>0</v>
      </c>
      <c r="S9" s="36" t="str">
        <f t="shared" si="2"/>
        <v/>
      </c>
      <c r="T9" s="36" t="str">
        <f t="shared" si="3"/>
        <v/>
      </c>
      <c r="U9" s="36"/>
      <c r="V9" s="36"/>
      <c r="W9" s="36" t="s">
        <v>621</v>
      </c>
      <c r="X9" s="36">
        <v>3</v>
      </c>
      <c r="Y9" s="36">
        <v>7</v>
      </c>
      <c r="Z9" s="36">
        <v>2</v>
      </c>
      <c r="AA9" s="36">
        <f>N7*Y9</f>
        <v>0</v>
      </c>
      <c r="AB9" s="36">
        <f>(V1+AA9)*Z9</f>
        <v>0</v>
      </c>
      <c r="AC9" s="36">
        <v>0</v>
      </c>
      <c r="AD9" s="36">
        <f t="shared" si="4"/>
        <v>0</v>
      </c>
      <c r="AE9" s="36"/>
      <c r="AF9" s="36"/>
    </row>
    <row r="10" spans="1:32" x14ac:dyDescent="0.25">
      <c r="A10" s="36"/>
      <c r="B10" s="36"/>
      <c r="C10" s="36">
        <f>IF('Character Sheet'!AW33=0,"",VLOOKUP('Character Sheet'!AW33,A25:D31,3,FALSE))</f>
        <v>-4</v>
      </c>
      <c r="D10" s="36"/>
      <c r="E10" s="36"/>
      <c r="F10" s="36"/>
      <c r="G10" s="36">
        <f>'Character Sheet'!BB33</f>
        <v>0</v>
      </c>
      <c r="H10" s="36"/>
      <c r="I10" s="36"/>
      <c r="J10" s="36"/>
      <c r="K10" s="36">
        <f t="shared" si="5"/>
        <v>-4</v>
      </c>
      <c r="L10" s="36"/>
      <c r="M10" s="36"/>
      <c r="N10" s="36"/>
      <c r="O10" s="36">
        <f>'Character Sheet'!Q59</f>
        <v>0</v>
      </c>
      <c r="P10" s="36">
        <f>VLOOKUP(O10,M1:N9,2,FALSE)</f>
        <v>0</v>
      </c>
      <c r="Q10" s="36" t="str">
        <f t="shared" si="1"/>
        <v/>
      </c>
      <c r="R10" s="36">
        <f>IF('Character Sheet'!V59=0,"",VLOOKUP('Character Sheet'!V59,A23:D31,3,FALSE))</f>
        <v>0</v>
      </c>
      <c r="S10" s="36" t="str">
        <f t="shared" si="2"/>
        <v/>
      </c>
      <c r="T10" s="36"/>
      <c r="U10" s="36"/>
      <c r="V10" s="36"/>
      <c r="W10" s="36" t="s">
        <v>344</v>
      </c>
      <c r="X10" s="36">
        <v>2</v>
      </c>
      <c r="Y10" s="36">
        <v>8</v>
      </c>
      <c r="Z10" s="36">
        <v>4</v>
      </c>
      <c r="AA10" s="36">
        <f>N7*Y10</f>
        <v>0</v>
      </c>
      <c r="AB10" s="36">
        <f>(V1+AA10)*Z10</f>
        <v>0</v>
      </c>
      <c r="AC10" s="36">
        <v>0</v>
      </c>
      <c r="AD10" s="36">
        <f t="shared" si="4"/>
        <v>0</v>
      </c>
      <c r="AE10" s="36"/>
      <c r="AF10" s="36"/>
    </row>
    <row r="11" spans="1:32" x14ac:dyDescent="0.25">
      <c r="A11" s="36">
        <f>IF('Character Sheet'!M34=0,"",VLOOKUP('Character Sheet'!M34,A25:D31,3,FALSE))</f>
        <v>-4</v>
      </c>
      <c r="B11" s="36">
        <f>IF('Character Sheet'!AE34=0,"",VLOOKUP('Character Sheet'!AE34,A25:D31,3,FALSE))</f>
        <v>-4</v>
      </c>
      <c r="C11" s="36">
        <f>IF('Character Sheet'!AW34=0,"",VLOOKUP('Character Sheet'!AW34,A25:D31,3,FALSE))</f>
        <v>-4</v>
      </c>
      <c r="D11" s="36"/>
      <c r="E11" s="36">
        <f>'Character Sheet'!R34</f>
        <v>0</v>
      </c>
      <c r="F11" s="36">
        <f>'Character Sheet'!AJ34</f>
        <v>0</v>
      </c>
      <c r="G11" s="36">
        <f>'Character Sheet'!BB34</f>
        <v>0</v>
      </c>
      <c r="H11" s="36"/>
      <c r="I11" s="36">
        <f t="shared" ref="I11:I21" si="6">IF(A11=0,"",IF(A11+E11&gt;0,"+"&amp;A11+E11,A11+E11))</f>
        <v>-4</v>
      </c>
      <c r="J11" s="36">
        <f t="shared" ref="J11:J21" si="7">IF(B11=0,"",IF(B11+F11&gt;0,"+"&amp;B11+F11,B11+F11))</f>
        <v>-4</v>
      </c>
      <c r="K11" s="36">
        <f t="shared" si="5"/>
        <v>-4</v>
      </c>
      <c r="L11" s="36"/>
      <c r="M11" s="36"/>
      <c r="N11" s="36"/>
      <c r="O11" s="36">
        <f>'Character Sheet'!Q60</f>
        <v>0</v>
      </c>
      <c r="P11" s="36">
        <f>VLOOKUP(O11,M1:N9,2,FALSE)</f>
        <v>0</v>
      </c>
      <c r="Q11" s="36" t="str">
        <f t="shared" si="1"/>
        <v/>
      </c>
      <c r="R11" s="36">
        <f>IF('Character Sheet'!V60=0,"",VLOOKUP('Character Sheet'!V60,A23:D31,3,FALSE))</f>
        <v>0</v>
      </c>
      <c r="S11" s="36" t="str">
        <f t="shared" si="2"/>
        <v/>
      </c>
      <c r="T11" s="36"/>
      <c r="U11" s="36"/>
      <c r="V11" s="36"/>
      <c r="W11" s="36" t="s">
        <v>344</v>
      </c>
      <c r="X11" s="36">
        <v>1</v>
      </c>
      <c r="Y11" s="36">
        <v>9</v>
      </c>
      <c r="Z11" s="36">
        <v>4</v>
      </c>
      <c r="AA11" s="36">
        <f>N7*Y11</f>
        <v>0</v>
      </c>
      <c r="AB11" s="36">
        <f>(V1+AA11)*Z11</f>
        <v>0</v>
      </c>
      <c r="AC11" s="36">
        <v>0</v>
      </c>
      <c r="AD11" s="36">
        <f t="shared" si="4"/>
        <v>0</v>
      </c>
      <c r="AE11" s="36"/>
      <c r="AF11" s="36"/>
    </row>
    <row r="12" spans="1:32" x14ac:dyDescent="0.25">
      <c r="A12" s="36">
        <f>IF('Character Sheet'!M35=0,"",VLOOKUP('Character Sheet'!M35,A25:D31,3,FALSE))</f>
        <v>-4</v>
      </c>
      <c r="B12" s="36">
        <f>IF('Character Sheet'!AE35=0,"",VLOOKUP('Character Sheet'!AE35,A25:D31,3,FALSE))</f>
        <v>-4</v>
      </c>
      <c r="C12" s="36">
        <f>IF('Character Sheet'!AW35=0,"",VLOOKUP('Character Sheet'!AW35,A25:D31,3,FALSE))</f>
        <v>-4</v>
      </c>
      <c r="D12" s="36"/>
      <c r="E12" s="36">
        <f>'Character Sheet'!R35</f>
        <v>0</v>
      </c>
      <c r="F12" s="36">
        <f>'Character Sheet'!AJ35</f>
        <v>0</v>
      </c>
      <c r="G12" s="36">
        <f>'Character Sheet'!BB35</f>
        <v>0</v>
      </c>
      <c r="H12" s="36"/>
      <c r="I12" s="36">
        <f t="shared" si="6"/>
        <v>-4</v>
      </c>
      <c r="J12" s="36">
        <f t="shared" si="7"/>
        <v>-4</v>
      </c>
      <c r="K12" s="36">
        <f t="shared" si="5"/>
        <v>-4</v>
      </c>
      <c r="L12" s="36"/>
      <c r="M12" s="36"/>
      <c r="N12" s="36"/>
      <c r="O12" s="36">
        <f>'Character Sheet'!Q61</f>
        <v>0</v>
      </c>
      <c r="P12" s="36">
        <f>VLOOKUP(O12,M1:N9,2,FALSE)</f>
        <v>0</v>
      </c>
      <c r="Q12" s="36" t="str">
        <f t="shared" si="1"/>
        <v/>
      </c>
      <c r="R12" s="36">
        <f>IF('Character Sheet'!V61=0,"",VLOOKUP('Character Sheet'!V61,A23:D31,3,FALSE))</f>
        <v>0</v>
      </c>
      <c r="S12" s="36" t="str">
        <f t="shared" si="2"/>
        <v/>
      </c>
      <c r="T12" s="36"/>
      <c r="U12" s="36"/>
      <c r="V12" s="36"/>
      <c r="W12" s="36" t="s">
        <v>519</v>
      </c>
      <c r="X12" s="36">
        <v>0</v>
      </c>
      <c r="Y12" s="36">
        <v>10</v>
      </c>
      <c r="Z12" s="36">
        <v>8</v>
      </c>
      <c r="AA12" s="36">
        <f>N7*Y12</f>
        <v>0</v>
      </c>
      <c r="AB12" s="36">
        <f>(V1+AA12)*Z12</f>
        <v>0</v>
      </c>
      <c r="AC12" s="36">
        <f>AB12/2</f>
        <v>0</v>
      </c>
      <c r="AD12" s="36">
        <f t="shared" si="4"/>
        <v>0</v>
      </c>
      <c r="AE12" s="36"/>
      <c r="AF12" s="36"/>
    </row>
    <row r="13" spans="1:32" x14ac:dyDescent="0.25">
      <c r="A13" s="36">
        <f>IF('Character Sheet'!M36=0,"",VLOOKUP('Character Sheet'!M36,A25:D31,3,FALSE))</f>
        <v>-4</v>
      </c>
      <c r="B13" s="36">
        <f>IF('Character Sheet'!AE36=0,"",VLOOKUP('Character Sheet'!AE36,A25:D31,3,FALSE))</f>
        <v>-4</v>
      </c>
      <c r="C13" s="36">
        <f>IF('Character Sheet'!AW36=0,"",VLOOKUP('Character Sheet'!AW36,A25:D31,3,FALSE))</f>
        <v>-4</v>
      </c>
      <c r="D13" s="36"/>
      <c r="E13" s="36">
        <f>'Character Sheet'!R36</f>
        <v>0</v>
      </c>
      <c r="F13" s="36">
        <f>'Character Sheet'!AJ36</f>
        <v>0</v>
      </c>
      <c r="G13" s="36">
        <f>'Character Sheet'!BB36</f>
        <v>0</v>
      </c>
      <c r="H13" s="36"/>
      <c r="I13" s="36">
        <f t="shared" si="6"/>
        <v>-4</v>
      </c>
      <c r="J13" s="36">
        <f t="shared" si="7"/>
        <v>-4</v>
      </c>
      <c r="K13" s="36">
        <f t="shared" si="5"/>
        <v>-4</v>
      </c>
      <c r="L13" s="36"/>
      <c r="M13" s="36"/>
      <c r="N13" s="36"/>
      <c r="O13" s="36">
        <f>'Character Sheet'!Q62</f>
        <v>0</v>
      </c>
      <c r="P13" s="36">
        <f>VLOOKUP(O13,M1:N9,2,FALSE)</f>
        <v>0</v>
      </c>
      <c r="Q13" s="36" t="str">
        <f t="shared" si="1"/>
        <v/>
      </c>
      <c r="R13" s="36">
        <f>IF('Character Sheet'!V62=0,"",VLOOKUP('Character Sheet'!V62,A23:D31,3,FALSE))</f>
        <v>0</v>
      </c>
      <c r="S13" s="36" t="str">
        <f t="shared" si="2"/>
        <v/>
      </c>
      <c r="T13" s="36"/>
      <c r="U13" s="36"/>
      <c r="V13" s="36"/>
      <c r="W13" s="36" t="s">
        <v>500</v>
      </c>
      <c r="X13" s="36">
        <v>1</v>
      </c>
      <c r="Y13" s="36">
        <v>9</v>
      </c>
      <c r="Z13" s="36">
        <v>4</v>
      </c>
      <c r="AA13" s="36">
        <f>N7*Y13</f>
        <v>0</v>
      </c>
      <c r="AB13" s="36">
        <f>(V1+AA13)*Z13</f>
        <v>0</v>
      </c>
      <c r="AC13" s="36">
        <f>AB13/2</f>
        <v>0</v>
      </c>
      <c r="AD13" s="36">
        <f t="shared" si="4"/>
        <v>0</v>
      </c>
      <c r="AE13" s="36"/>
      <c r="AF13" s="36"/>
    </row>
    <row r="14" spans="1:32" x14ac:dyDescent="0.25">
      <c r="A14" s="36">
        <f>IF('Character Sheet'!M37=0,"",VLOOKUP('Character Sheet'!M37,A25:D31,3,FALSE))</f>
        <v>-4</v>
      </c>
      <c r="B14" s="36">
        <f>IF('Character Sheet'!AE37=0,"",VLOOKUP('Character Sheet'!AE37,A25:D31,3,FALSE))</f>
        <v>-4</v>
      </c>
      <c r="C14" s="36">
        <f>IF('Character Sheet'!AW37=0,"",VLOOKUP('Character Sheet'!AW37,A25:D31,3,FALSE))</f>
        <v>-4</v>
      </c>
      <c r="D14" s="36"/>
      <c r="E14" s="36">
        <f>'Character Sheet'!R37</f>
        <v>0</v>
      </c>
      <c r="F14" s="36">
        <f>'Character Sheet'!AJ37</f>
        <v>0</v>
      </c>
      <c r="G14" s="36">
        <f>'Character Sheet'!BB37</f>
        <v>0</v>
      </c>
      <c r="H14" s="36"/>
      <c r="I14" s="36">
        <f t="shared" si="6"/>
        <v>-4</v>
      </c>
      <c r="J14" s="36">
        <f t="shared" si="7"/>
        <v>-4</v>
      </c>
      <c r="K14" s="36">
        <f t="shared" si="5"/>
        <v>-4</v>
      </c>
      <c r="L14" s="36"/>
      <c r="M14" s="36"/>
      <c r="N14" s="36"/>
      <c r="O14" s="36">
        <f>'Character Sheet'!Q63</f>
        <v>0</v>
      </c>
      <c r="P14" s="36">
        <f>VLOOKUP(O14,M1:N9,2,FALSE)</f>
        <v>0</v>
      </c>
      <c r="Q14" s="36" t="str">
        <f t="shared" si="1"/>
        <v/>
      </c>
      <c r="R14" s="36">
        <f>IF('Character Sheet'!V63=0,"",VLOOKUP('Character Sheet'!V63,A23:D31,3,FALSE))</f>
        <v>0</v>
      </c>
      <c r="S14" s="36" t="str">
        <f t="shared" si="2"/>
        <v/>
      </c>
      <c r="T14" s="36"/>
      <c r="U14" s="36"/>
      <c r="V14" s="36"/>
      <c r="W14" s="36" t="s">
        <v>437</v>
      </c>
      <c r="X14" s="36">
        <v>0</v>
      </c>
      <c r="Y14" s="36">
        <v>10</v>
      </c>
      <c r="Z14" s="36">
        <v>24</v>
      </c>
      <c r="AA14" s="36">
        <f>N7*Y14</f>
        <v>0</v>
      </c>
      <c r="AB14" s="36">
        <f>(V1+AA14)*Z14</f>
        <v>0</v>
      </c>
      <c r="AC14" s="36">
        <f>AB14/2</f>
        <v>0</v>
      </c>
      <c r="AD14" s="36">
        <f t="shared" si="4"/>
        <v>0</v>
      </c>
      <c r="AE14" s="36"/>
      <c r="AF14" s="36"/>
    </row>
    <row r="15" spans="1:32" x14ac:dyDescent="0.25">
      <c r="A15" s="36">
        <f>IF('Character Sheet'!M38=0,"",VLOOKUP('Character Sheet'!M38,A25:D31,3,FALSE))</f>
        <v>-4</v>
      </c>
      <c r="B15" s="36">
        <f>IF('Character Sheet'!AE38=0,"",VLOOKUP('Character Sheet'!AE38,A25:D31,3,FALSE))</f>
        <v>-4</v>
      </c>
      <c r="C15" s="36">
        <f>IF('Character Sheet'!AW38=0,"",VLOOKUP('Character Sheet'!AW38,A25:D31,3,FALSE))</f>
        <v>-4</v>
      </c>
      <c r="D15" s="36"/>
      <c r="E15" s="36">
        <f>'Character Sheet'!R38</f>
        <v>0</v>
      </c>
      <c r="F15" s="36">
        <f>'Character Sheet'!AJ38</f>
        <v>0</v>
      </c>
      <c r="G15" s="36">
        <f>'Character Sheet'!BB38</f>
        <v>0</v>
      </c>
      <c r="H15" s="36"/>
      <c r="I15" s="36">
        <f t="shared" si="6"/>
        <v>-4</v>
      </c>
      <c r="J15" s="36">
        <f t="shared" si="7"/>
        <v>-4</v>
      </c>
      <c r="K15" s="36">
        <f t="shared" si="5"/>
        <v>-4</v>
      </c>
      <c r="L15" s="36"/>
      <c r="M15" s="36"/>
      <c r="N15" s="36"/>
      <c r="O15" s="36">
        <f>'Character Sheet'!Q64</f>
        <v>0</v>
      </c>
      <c r="P15" s="36">
        <f>VLOOKUP(O15,M1:N9,2,FALSE)</f>
        <v>0</v>
      </c>
      <c r="Q15" s="36" t="str">
        <f t="shared" si="1"/>
        <v/>
      </c>
      <c r="R15" s="36">
        <f>IF('Character Sheet'!V64=0,"",VLOOKUP('Character Sheet'!V64,A23:D31,3,FALSE))</f>
        <v>0</v>
      </c>
      <c r="S15" s="36" t="str">
        <f t="shared" si="2"/>
        <v/>
      </c>
      <c r="T15" s="36"/>
      <c r="U15" s="36"/>
      <c r="V15" s="36"/>
      <c r="W15" s="36" t="s">
        <v>414</v>
      </c>
      <c r="X15" s="36">
        <v>0</v>
      </c>
      <c r="Y15" s="36">
        <v>10</v>
      </c>
      <c r="Z15" s="36">
        <v>96</v>
      </c>
      <c r="AA15" s="36">
        <f>N7*Y15</f>
        <v>0</v>
      </c>
      <c r="AB15" s="36">
        <f>(V1+AA15)*Z15</f>
        <v>0</v>
      </c>
      <c r="AC15" s="36">
        <f>AB15/2</f>
        <v>0</v>
      </c>
      <c r="AD15" s="36">
        <f t="shared" si="4"/>
        <v>0</v>
      </c>
      <c r="AE15" s="36"/>
      <c r="AF15" s="36"/>
    </row>
    <row r="16" spans="1:32" x14ac:dyDescent="0.25">
      <c r="A16" s="36">
        <f>IF('Character Sheet'!M39=0,"",VLOOKUP('Character Sheet'!M39,A25:D31,3,FALSE))</f>
        <v>-4</v>
      </c>
      <c r="B16" s="36">
        <f>IF('Character Sheet'!AE39=0,"",VLOOKUP('Character Sheet'!AE39,A25:D31,3,FALSE))</f>
        <v>-4</v>
      </c>
      <c r="C16" s="36">
        <f>IF('Character Sheet'!AW39=0,"",VLOOKUP('Character Sheet'!AW39,A25:D31,3,FALSE))</f>
        <v>-4</v>
      </c>
      <c r="D16" s="36"/>
      <c r="E16" s="36">
        <f>'Character Sheet'!R39</f>
        <v>0</v>
      </c>
      <c r="F16" s="36">
        <f>'Character Sheet'!AJ39</f>
        <v>0</v>
      </c>
      <c r="G16" s="36">
        <f>'Character Sheet'!BB39</f>
        <v>0</v>
      </c>
      <c r="H16" s="36"/>
      <c r="I16" s="36">
        <f t="shared" si="6"/>
        <v>-4</v>
      </c>
      <c r="J16" s="36">
        <f t="shared" si="7"/>
        <v>-4</v>
      </c>
      <c r="K16" s="36">
        <f t="shared" si="5"/>
        <v>-4</v>
      </c>
      <c r="L16" s="36"/>
      <c r="M16" s="36"/>
      <c r="N16" s="36"/>
      <c r="O16" s="36">
        <f>'Character Sheet'!Q65</f>
        <v>0</v>
      </c>
      <c r="P16" s="36">
        <f>VLOOKUP(O16,M1:N9,2,FALSE)</f>
        <v>0</v>
      </c>
      <c r="Q16" s="36" t="str">
        <f t="shared" si="1"/>
        <v/>
      </c>
      <c r="R16" s="36">
        <f>IF('Character Sheet'!V65=0,"",VLOOKUP('Character Sheet'!V65,A23:D31,3,FALSE))</f>
        <v>0</v>
      </c>
      <c r="S16" s="36" t="str">
        <f t="shared" si="2"/>
        <v/>
      </c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</row>
    <row r="17" spans="1:32" x14ac:dyDescent="0.25">
      <c r="A17" s="36">
        <f>IF('Character Sheet'!M40=0,"",VLOOKUP('Character Sheet'!M40,A25:D31,3,FALSE))</f>
        <v>-4</v>
      </c>
      <c r="B17" s="36">
        <f>IF('Character Sheet'!AE40=0,"",VLOOKUP('Character Sheet'!AE40,A25:D31,3,FALSE))</f>
        <v>-4</v>
      </c>
      <c r="C17" s="36">
        <f>IF('Character Sheet'!AW40=0,"",VLOOKUP('Character Sheet'!AW40,A25:D31,3,FALSE))</f>
        <v>-4</v>
      </c>
      <c r="D17" s="36"/>
      <c r="E17" s="36">
        <f>'Character Sheet'!R40</f>
        <v>0</v>
      </c>
      <c r="F17" s="36">
        <f>'Character Sheet'!AJ40</f>
        <v>0</v>
      </c>
      <c r="G17" s="36">
        <f>'Character Sheet'!BB40</f>
        <v>0</v>
      </c>
      <c r="H17" s="36"/>
      <c r="I17" s="36">
        <f t="shared" si="6"/>
        <v>-4</v>
      </c>
      <c r="J17" s="36">
        <f t="shared" si="7"/>
        <v>-4</v>
      </c>
      <c r="K17" s="36">
        <f t="shared" si="5"/>
        <v>-4</v>
      </c>
      <c r="L17" s="36"/>
      <c r="M17" s="36"/>
      <c r="N17" s="36"/>
      <c r="O17" s="36">
        <f>'Character Sheet'!Q66</f>
        <v>0</v>
      </c>
      <c r="P17" s="36">
        <f>VLOOKUP(O17,M1:N9,2,FALSE)</f>
        <v>0</v>
      </c>
      <c r="Q17" s="36" t="str">
        <f t="shared" si="1"/>
        <v/>
      </c>
      <c r="R17" s="36">
        <f>IF('Character Sheet'!V66=0,"",VLOOKUP('Character Sheet'!V66,A23:D31,3,FALSE))</f>
        <v>0</v>
      </c>
      <c r="S17" s="36" t="str">
        <f t="shared" si="2"/>
        <v/>
      </c>
      <c r="T17" s="36"/>
      <c r="U17" s="36"/>
      <c r="V17" s="36"/>
      <c r="W17" s="36">
        <v>9</v>
      </c>
      <c r="X17" s="36">
        <v>8</v>
      </c>
      <c r="Y17" s="36">
        <v>7</v>
      </c>
      <c r="Z17" s="36">
        <v>6</v>
      </c>
      <c r="AA17" s="36">
        <v>5</v>
      </c>
      <c r="AB17" s="36">
        <v>4</v>
      </c>
      <c r="AC17" s="36">
        <v>3</v>
      </c>
      <c r="AD17" s="36">
        <v>2</v>
      </c>
      <c r="AE17" s="36">
        <v>1</v>
      </c>
      <c r="AF17" s="36">
        <v>0</v>
      </c>
    </row>
    <row r="18" spans="1:32" x14ac:dyDescent="0.25">
      <c r="A18" s="36">
        <f>IF('Character Sheet'!M40=0,"",VLOOKUP('Character Sheet'!M40,A25:D31,3,FALSE))</f>
        <v>-4</v>
      </c>
      <c r="B18" s="36">
        <f>IF('Character Sheet'!AE40=0,"",VLOOKUP('Character Sheet'!AE40,A25:D31,3,FALSE))</f>
        <v>-4</v>
      </c>
      <c r="C18" s="36">
        <f>IF('Character Sheet'!AW41=0,"",VLOOKUP('Character Sheet'!AW41,A25:D31,3,FALSE))</f>
        <v>-4</v>
      </c>
      <c r="D18" s="36"/>
      <c r="E18" s="36">
        <f>'Character Sheet'!R41</f>
        <v>0</v>
      </c>
      <c r="F18" s="36">
        <f>'Character Sheet'!AJ41</f>
        <v>0</v>
      </c>
      <c r="G18" s="36">
        <f>'Character Sheet'!BB41</f>
        <v>0</v>
      </c>
      <c r="H18" s="36"/>
      <c r="I18" s="36">
        <f t="shared" si="6"/>
        <v>-4</v>
      </c>
      <c r="J18" s="36">
        <f t="shared" si="7"/>
        <v>-4</v>
      </c>
      <c r="K18" s="36">
        <f t="shared" si="5"/>
        <v>-4</v>
      </c>
      <c r="L18" s="36"/>
      <c r="M18" s="36"/>
      <c r="N18" s="36"/>
      <c r="O18" s="36">
        <f>'Character Sheet'!Q67</f>
        <v>0</v>
      </c>
      <c r="P18" s="36">
        <f>VLOOKUP(O18,M1:N9,2,FALSE)</f>
        <v>0</v>
      </c>
      <c r="Q18" s="36" t="str">
        <f t="shared" si="1"/>
        <v/>
      </c>
      <c r="R18" s="36">
        <f>IF('Character Sheet'!V67=0,"",VLOOKUP('Character Sheet'!V67,A23:D31,3,FALSE))</f>
        <v>0</v>
      </c>
      <c r="S18" s="36" t="str">
        <f t="shared" si="2"/>
        <v/>
      </c>
      <c r="T18" s="36"/>
      <c r="U18" s="36"/>
      <c r="V18" s="36">
        <f>'Character Sheet'!R7</f>
        <v>0</v>
      </c>
      <c r="W18" s="36">
        <f>'Character Sheet'!AA15</f>
        <v>0</v>
      </c>
      <c r="X18" s="36">
        <f>'Character Sheet'!AB15</f>
        <v>0</v>
      </c>
      <c r="Y18" s="36">
        <f>'Character Sheet'!AC15</f>
        <v>0</v>
      </c>
      <c r="Z18" s="36">
        <f>'Character Sheet'!AD15</f>
        <v>0</v>
      </c>
      <c r="AA18" s="36">
        <f>'Character Sheet'!AE15</f>
        <v>0</v>
      </c>
      <c r="AB18" s="36">
        <f>'Character Sheet'!AF15</f>
        <v>0</v>
      </c>
      <c r="AC18" s="36">
        <f>'Character Sheet'!AG15</f>
        <v>0</v>
      </c>
      <c r="AD18" s="36">
        <f>'Character Sheet'!AH15</f>
        <v>0</v>
      </c>
      <c r="AE18" s="36">
        <f>'Character Sheet'!AI15</f>
        <v>0</v>
      </c>
      <c r="AF18" s="36">
        <f>'Character Sheet'!AJ15</f>
        <v>0</v>
      </c>
    </row>
    <row r="19" spans="1:32" x14ac:dyDescent="0.25">
      <c r="A19" s="36">
        <f>IF('Character Sheet'!M42=0,"",VLOOKUP('Character Sheet'!M42,A25:D31,3,FALSE))</f>
        <v>-4</v>
      </c>
      <c r="B19" s="36">
        <f>IF('Character Sheet'!AE42=0,"",VLOOKUP('Character Sheet'!AE42,A25:D31,3,FALSE))</f>
        <v>-4</v>
      </c>
      <c r="C19" s="36">
        <f>IF('Character Sheet'!AW42=0,"",VLOOKUP('Character Sheet'!AW42,A25:D31,3,FALSE))</f>
        <v>-4</v>
      </c>
      <c r="D19" s="36"/>
      <c r="E19" s="36">
        <f>'Character Sheet'!R42</f>
        <v>0</v>
      </c>
      <c r="F19" s="36">
        <f>'Character Sheet'!AJ42</f>
        <v>0</v>
      </c>
      <c r="G19" s="36">
        <f>'Character Sheet'!BB42</f>
        <v>0</v>
      </c>
      <c r="H19" s="36"/>
      <c r="I19" s="36">
        <f t="shared" si="6"/>
        <v>-4</v>
      </c>
      <c r="J19" s="36">
        <f t="shared" si="7"/>
        <v>-4</v>
      </c>
      <c r="K19" s="36">
        <f t="shared" si="5"/>
        <v>-4</v>
      </c>
      <c r="L19" s="36"/>
      <c r="M19" s="36"/>
      <c r="N19" s="36"/>
      <c r="O19" s="36">
        <f>'Character Sheet'!Q68</f>
        <v>0</v>
      </c>
      <c r="P19" s="36">
        <f>VLOOKUP(O19,M1:N9,2,FALSE)</f>
        <v>0</v>
      </c>
      <c r="Q19" s="36" t="str">
        <f t="shared" si="1"/>
        <v/>
      </c>
      <c r="R19" s="36">
        <f>IF('Character Sheet'!V68=0,"",VLOOKUP('Character Sheet'!V68,A23:D31,3,FALSE))</f>
        <v>0</v>
      </c>
      <c r="S19" s="36" t="str">
        <f t="shared" si="2"/>
        <v/>
      </c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</row>
    <row r="20" spans="1:32" x14ac:dyDescent="0.25">
      <c r="A20" s="36">
        <f>IF('Character Sheet'!M43=0,"",VLOOKUP('Character Sheet'!M43,A25:D31,3,FALSE))</f>
        <v>-4</v>
      </c>
      <c r="B20" s="36">
        <f>IF('Character Sheet'!AE43=0,"",VLOOKUP('Character Sheet'!AE43,A25:D31,3,FALSE))</f>
        <v>-4</v>
      </c>
      <c r="C20" s="36">
        <f>IF('Character Sheet'!AW43=0,"",VLOOKUP('Character Sheet'!AW43,A25:D31,3,FALSE))</f>
        <v>-4</v>
      </c>
      <c r="D20" s="36"/>
      <c r="E20" s="36">
        <f>'Character Sheet'!R43</f>
        <v>0</v>
      </c>
      <c r="F20" s="36">
        <f>'Character Sheet'!AJ43</f>
        <v>0</v>
      </c>
      <c r="G20" s="36">
        <f>'Character Sheet'!BB43</f>
        <v>0</v>
      </c>
      <c r="H20" s="36"/>
      <c r="I20" s="36">
        <f t="shared" si="6"/>
        <v>-4</v>
      </c>
      <c r="J20" s="36">
        <f t="shared" si="7"/>
        <v>-4</v>
      </c>
      <c r="K20" s="36">
        <f t="shared" si="5"/>
        <v>-4</v>
      </c>
      <c r="L20" s="36"/>
      <c r="M20" s="36"/>
      <c r="N20" s="36"/>
      <c r="O20" s="36">
        <f>'Character Sheet'!Q69</f>
        <v>0</v>
      </c>
      <c r="P20" s="36">
        <f>VLOOKUP(O20,M1:N9,2,FALSE)</f>
        <v>0</v>
      </c>
      <c r="Q20" s="36" t="str">
        <f t="shared" si="1"/>
        <v/>
      </c>
      <c r="R20" s="36">
        <f>IF('Character Sheet'!V69=0,"",VLOOKUP('Character Sheet'!V69,A23:D31,3,FALSE))</f>
        <v>0</v>
      </c>
      <c r="S20" s="36" t="str">
        <f t="shared" si="2"/>
        <v/>
      </c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</row>
    <row r="21" spans="1:32" x14ac:dyDescent="0.25">
      <c r="A21" s="36">
        <f>IF('Character Sheet'!M44=0,"",VLOOKUP('Character Sheet'!M44,A25:D31,3,FALSE))</f>
        <v>2</v>
      </c>
      <c r="B21" s="36">
        <f>IF('Character Sheet'!AE44=0,"",VLOOKUP('Character Sheet'!AE44,A25:D31,3,FALSE))</f>
        <v>-4</v>
      </c>
      <c r="C21" s="36">
        <f>IF('Character Sheet'!AW44=0,"",VLOOKUP('Character Sheet'!AW44,A25:D31,3,FALSE))</f>
        <v>-4</v>
      </c>
      <c r="D21" s="36"/>
      <c r="E21" s="36">
        <f>'Character Sheet'!R44</f>
        <v>0</v>
      </c>
      <c r="F21" s="36">
        <f>'Character Sheet'!AJ44</f>
        <v>0</v>
      </c>
      <c r="G21" s="36">
        <f>'Character Sheet'!BB44</f>
        <v>0</v>
      </c>
      <c r="H21" s="36"/>
      <c r="I21" s="36" t="str">
        <f t="shared" si="6"/>
        <v>+2</v>
      </c>
      <c r="J21" s="36">
        <f t="shared" si="7"/>
        <v>-4</v>
      </c>
      <c r="K21" s="36">
        <f t="shared" si="5"/>
        <v>-4</v>
      </c>
      <c r="L21" s="36"/>
      <c r="M21" s="36"/>
      <c r="N21" s="36"/>
      <c r="O21" s="36">
        <f>'Character Sheet'!Q70</f>
        <v>0</v>
      </c>
      <c r="P21" s="36">
        <f>VLOOKUP(O21,M1:N9,2,FALSE)</f>
        <v>0</v>
      </c>
      <c r="Q21" s="36" t="str">
        <f t="shared" si="1"/>
        <v/>
      </c>
      <c r="R21" s="36">
        <f>IF('Character Sheet'!V70=0,"",VLOOKUP('Character Sheet'!V70,A23:D31,3,FALSE))</f>
        <v>0</v>
      </c>
      <c r="S21" s="36" t="str">
        <f t="shared" si="2"/>
        <v/>
      </c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</row>
    <row r="22" spans="1:32" x14ac:dyDescent="0.25">
      <c r="A22" s="36"/>
      <c r="B22" s="36"/>
      <c r="C22" s="36">
        <f>IF('Character Sheet'!AW45=0,"",VLOOKUP('Character Sheet'!AW45,A25:D31,3,FALSE))</f>
        <v>-4</v>
      </c>
      <c r="D22" s="36"/>
      <c r="E22" s="36"/>
      <c r="F22" s="36"/>
      <c r="G22" s="36">
        <f>'Character Sheet'!BB45</f>
        <v>0</v>
      </c>
      <c r="H22" s="36"/>
      <c r="I22" s="36" t="str">
        <f>IF(A22=0,"",IF(A22&gt;0,"+"&amp;A22,A22))</f>
        <v/>
      </c>
      <c r="J22" s="36" t="str">
        <f>IF(B22=0,"",IF(B22&gt;0,"+"&amp;B22,B22))</f>
        <v/>
      </c>
      <c r="K22" s="36">
        <f t="shared" si="5"/>
        <v>-4</v>
      </c>
      <c r="L22" s="36"/>
      <c r="M22" s="36"/>
      <c r="N22" s="36"/>
      <c r="O22" s="36">
        <f>'Character Sheet'!Q71</f>
        <v>0</v>
      </c>
      <c r="P22" s="36">
        <f>VLOOKUP(O22,M1:N9,2,FALSE)</f>
        <v>0</v>
      </c>
      <c r="Q22" s="36" t="str">
        <f t="shared" si="1"/>
        <v/>
      </c>
      <c r="R22" s="36">
        <f>IF('Character Sheet'!V71=0,"",VLOOKUP('Character Sheet'!V71,A23:D31,3,FALSE))</f>
        <v>0</v>
      </c>
      <c r="S22" s="36" t="str">
        <f t="shared" si="2"/>
        <v/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</row>
    <row r="23" spans="1:32" x14ac:dyDescent="0.25">
      <c r="A23" s="232" t="s">
        <v>32</v>
      </c>
      <c r="B23" s="69"/>
      <c r="C23" s="232">
        <v>0</v>
      </c>
      <c r="D23" s="69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>
        <f>'Character Sheet'!Q72</f>
        <v>0</v>
      </c>
      <c r="P23" s="36">
        <f>VLOOKUP(O23,M1:N9,2,FALSE)</f>
        <v>0</v>
      </c>
      <c r="Q23" s="36" t="str">
        <f t="shared" si="1"/>
        <v/>
      </c>
      <c r="R23" s="36">
        <f>IF('Character Sheet'!V72=0,"",VLOOKUP('Character Sheet'!V72,A23:D31,3,FALSE))</f>
        <v>0</v>
      </c>
      <c r="S23" s="36" t="str">
        <f t="shared" si="2"/>
        <v/>
      </c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</row>
    <row r="24" spans="1:32" x14ac:dyDescent="0.25">
      <c r="A24" s="232" t="s">
        <v>144</v>
      </c>
      <c r="B24" s="69"/>
      <c r="C24" s="232" t="s">
        <v>145</v>
      </c>
      <c r="D24" s="69"/>
      <c r="E24" s="39" t="s">
        <v>634</v>
      </c>
      <c r="F24" s="39" t="s">
        <v>635</v>
      </c>
      <c r="G24" s="39" t="s">
        <v>636</v>
      </c>
      <c r="H24" s="39" t="s">
        <v>637</v>
      </c>
      <c r="I24" s="39"/>
      <c r="J24" s="39"/>
      <c r="K24" s="36"/>
      <c r="L24" s="36"/>
      <c r="M24" s="36"/>
      <c r="N24" s="36"/>
      <c r="O24" s="36">
        <f>'Character Sheet'!Q73</f>
        <v>0</v>
      </c>
      <c r="P24" s="36">
        <f>VLOOKUP(O24,M1:N9,2,FALSE)</f>
        <v>0</v>
      </c>
      <c r="Q24" s="36" t="str">
        <f t="shared" si="1"/>
        <v/>
      </c>
      <c r="R24" s="36">
        <f>IF('Character Sheet'!V73=0,"",VLOOKUP('Character Sheet'!V73,A23:D31,3,FALSE))</f>
        <v>0</v>
      </c>
      <c r="S24" s="36" t="str">
        <f t="shared" si="2"/>
        <v/>
      </c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 spans="1:32" x14ac:dyDescent="0.25">
      <c r="A25" s="232" t="s">
        <v>153</v>
      </c>
      <c r="B25" s="69"/>
      <c r="C25" s="232">
        <v>-4</v>
      </c>
      <c r="D25" s="69"/>
      <c r="E25" s="39" t="s">
        <v>638</v>
      </c>
      <c r="F25" s="39" t="s">
        <v>639</v>
      </c>
      <c r="G25" s="39" t="s">
        <v>32</v>
      </c>
      <c r="H25" s="39" t="s">
        <v>640</v>
      </c>
      <c r="I25" s="39"/>
      <c r="J25" s="39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 x14ac:dyDescent="0.25">
      <c r="A26" s="232" t="s">
        <v>162</v>
      </c>
      <c r="B26" s="69"/>
      <c r="C26" s="232">
        <v>2</v>
      </c>
      <c r="D26" s="69"/>
      <c r="E26" s="39" t="s">
        <v>641</v>
      </c>
      <c r="F26" s="39" t="s">
        <v>642</v>
      </c>
      <c r="G26" s="39" t="s">
        <v>643</v>
      </c>
      <c r="H26" s="39" t="s">
        <v>644</v>
      </c>
      <c r="I26" s="39"/>
      <c r="J26" s="39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 x14ac:dyDescent="0.25">
      <c r="A27" s="232" t="s">
        <v>170</v>
      </c>
      <c r="B27" s="69"/>
      <c r="C27" s="232">
        <v>4</v>
      </c>
      <c r="D27" s="69"/>
      <c r="E27" s="39" t="s">
        <v>645</v>
      </c>
      <c r="F27" s="39" t="s">
        <v>646</v>
      </c>
      <c r="G27" s="39" t="s">
        <v>647</v>
      </c>
      <c r="H27" s="39" t="s">
        <v>648</v>
      </c>
      <c r="I27" s="39"/>
      <c r="J27" s="39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 x14ac:dyDescent="0.25">
      <c r="A28" s="232" t="s">
        <v>178</v>
      </c>
      <c r="B28" s="69"/>
      <c r="C28" s="232">
        <v>5</v>
      </c>
      <c r="D28" s="69"/>
      <c r="E28" s="39" t="s">
        <v>649</v>
      </c>
      <c r="F28" s="39" t="s">
        <v>650</v>
      </c>
      <c r="G28" s="39" t="s">
        <v>651</v>
      </c>
      <c r="H28" s="39" t="s">
        <v>621</v>
      </c>
      <c r="I28" s="39"/>
      <c r="J28" s="39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 x14ac:dyDescent="0.25">
      <c r="A29" s="232" t="s">
        <v>185</v>
      </c>
      <c r="B29" s="69"/>
      <c r="C29" s="232">
        <v>6</v>
      </c>
      <c r="D29" s="69"/>
      <c r="E29" s="39" t="s">
        <v>652</v>
      </c>
      <c r="F29" s="39" t="s">
        <v>653</v>
      </c>
      <c r="G29" s="39" t="s">
        <v>654</v>
      </c>
      <c r="H29" s="39" t="s">
        <v>655</v>
      </c>
      <c r="I29" s="39"/>
      <c r="J29" s="39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 spans="1:32" x14ac:dyDescent="0.25">
      <c r="A30" s="232" t="s">
        <v>190</v>
      </c>
      <c r="B30" s="69"/>
      <c r="C30" s="232">
        <v>7</v>
      </c>
      <c r="D30" s="69"/>
      <c r="E30" s="39" t="s">
        <v>656</v>
      </c>
      <c r="F30" s="39" t="s">
        <v>657</v>
      </c>
      <c r="G30" s="39" t="s">
        <v>658</v>
      </c>
      <c r="H30" s="39" t="s">
        <v>659</v>
      </c>
      <c r="I30" s="39"/>
      <c r="J30" s="39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 x14ac:dyDescent="0.25">
      <c r="A31" s="232" t="s">
        <v>194</v>
      </c>
      <c r="B31" s="69"/>
      <c r="C31" s="232">
        <v>8</v>
      </c>
      <c r="D31" s="69"/>
      <c r="E31" s="39" t="s">
        <v>660</v>
      </c>
      <c r="F31" s="39" t="s">
        <v>661</v>
      </c>
      <c r="G31" s="39" t="s">
        <v>662</v>
      </c>
      <c r="H31" s="39" t="s">
        <v>663</v>
      </c>
      <c r="I31" s="39"/>
      <c r="J31" s="39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 x14ac:dyDescent="0.25">
      <c r="A32" s="36"/>
      <c r="B32" s="36"/>
      <c r="C32" s="36"/>
      <c r="D32" s="36"/>
      <c r="E32" s="39"/>
      <c r="F32" s="39"/>
      <c r="G32" s="39"/>
      <c r="H32" s="39"/>
      <c r="I32" s="39"/>
      <c r="J32" s="39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spans="1:32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spans="1:32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1:32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1:32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1:32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1:32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1:32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1:32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1:32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spans="1:32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  <row r="48" spans="1:32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</row>
    <row r="49" spans="1:32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</row>
    <row r="50" spans="1:32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</row>
    <row r="51" spans="1:32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spans="1:32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</row>
    <row r="53" spans="1:32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</row>
    <row r="54" spans="1:32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</row>
    <row r="55" spans="1:32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</row>
    <row r="56" spans="1:32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</row>
    <row r="57" spans="1:32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</row>
    <row r="58" spans="1:32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</row>
    <row r="59" spans="1:32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</row>
    <row r="60" spans="1:32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</row>
    <row r="61" spans="1:32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</row>
    <row r="62" spans="1:32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</row>
    <row r="63" spans="1:32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</row>
    <row r="64" spans="1:32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</row>
    <row r="65" spans="1:32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spans="1:32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</row>
    <row r="67" spans="1:32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</row>
    <row r="68" spans="1:32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</row>
    <row r="69" spans="1:32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</row>
    <row r="70" spans="1:32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</row>
    <row r="71" spans="1:32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</row>
    <row r="72" spans="1:32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</row>
    <row r="73" spans="1:32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</row>
    <row r="74" spans="1:32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</row>
    <row r="75" spans="1:32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</row>
    <row r="76" spans="1:32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</row>
    <row r="77" spans="1:32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</row>
    <row r="78" spans="1:32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</row>
    <row r="79" spans="1:32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</row>
    <row r="80" spans="1:32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</row>
    <row r="81" spans="1:32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</row>
    <row r="82" spans="1:32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</row>
    <row r="83" spans="1:32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spans="1:32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spans="1:32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</row>
    <row r="86" spans="1:32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spans="1:32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</row>
    <row r="88" spans="1:32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</row>
    <row r="89" spans="1:32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</row>
    <row r="90" spans="1:32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</row>
    <row r="91" spans="1:32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</row>
    <row r="92" spans="1:32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</row>
    <row r="93" spans="1:32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</row>
    <row r="94" spans="1:32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spans="1:32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spans="1:32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spans="1:32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</row>
    <row r="98" spans="1:32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</row>
    <row r="99" spans="1:32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</row>
    <row r="100" spans="1:32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</row>
    <row r="101" spans="1:32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</row>
    <row r="102" spans="1:32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</row>
    <row r="103" spans="1:32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</row>
    <row r="104" spans="1:32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spans="1:32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spans="1:32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 spans="1:32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</row>
    <row r="108" spans="1:32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</row>
    <row r="109" spans="1:32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</row>
    <row r="110" spans="1:32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</row>
    <row r="111" spans="1:32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</row>
    <row r="112" spans="1:32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</row>
    <row r="113" spans="1:32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</row>
    <row r="114" spans="1:32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 spans="1:32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spans="1:32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spans="1:32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</row>
    <row r="118" spans="1:32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</row>
    <row r="119" spans="1:32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</row>
    <row r="120" spans="1:32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</row>
    <row r="121" spans="1:32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</row>
    <row r="122" spans="1:32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</row>
    <row r="123" spans="1:32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</row>
    <row r="124" spans="1:32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</row>
    <row r="125" spans="1:32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</row>
    <row r="126" spans="1:32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</row>
    <row r="127" spans="1:32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</row>
    <row r="128" spans="1:32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</row>
    <row r="129" spans="1:32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</row>
    <row r="130" spans="1:32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</row>
    <row r="131" spans="1:32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</row>
    <row r="132" spans="1:32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</row>
    <row r="133" spans="1:32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</row>
    <row r="134" spans="1:32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</row>
    <row r="135" spans="1:32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</row>
    <row r="136" spans="1:32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</row>
    <row r="137" spans="1:32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</row>
    <row r="138" spans="1:32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</row>
    <row r="139" spans="1:32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</row>
    <row r="140" spans="1:32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</row>
    <row r="141" spans="1:32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</row>
    <row r="142" spans="1:32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</row>
    <row r="143" spans="1:32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</row>
    <row r="144" spans="1:32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</row>
    <row r="145" spans="1:32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</row>
    <row r="146" spans="1:32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</row>
    <row r="147" spans="1:32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</row>
    <row r="148" spans="1:32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</row>
    <row r="149" spans="1:32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</row>
    <row r="150" spans="1:32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</row>
    <row r="151" spans="1:32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</row>
    <row r="152" spans="1:32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</row>
    <row r="153" spans="1:32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</row>
    <row r="154" spans="1:32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</row>
    <row r="155" spans="1:32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</row>
    <row r="156" spans="1:32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</row>
    <row r="157" spans="1:32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</row>
    <row r="158" spans="1:32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</row>
    <row r="159" spans="1:32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</row>
    <row r="160" spans="1:32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</row>
    <row r="161" spans="1:32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</row>
    <row r="162" spans="1:32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</row>
    <row r="163" spans="1:32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</row>
    <row r="164" spans="1:32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</row>
    <row r="165" spans="1:32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</row>
    <row r="166" spans="1:32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</row>
    <row r="167" spans="1:32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</row>
    <row r="168" spans="1:32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</row>
    <row r="169" spans="1:32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</row>
    <row r="170" spans="1:32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</row>
    <row r="171" spans="1:32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</row>
    <row r="172" spans="1:32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</row>
    <row r="173" spans="1:32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</row>
    <row r="174" spans="1:32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</row>
    <row r="175" spans="1:32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</row>
    <row r="176" spans="1:32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</row>
    <row r="177" spans="1:32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</row>
    <row r="178" spans="1:32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</row>
    <row r="179" spans="1:32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</row>
    <row r="180" spans="1:32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</row>
    <row r="181" spans="1:32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</row>
    <row r="182" spans="1:32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</row>
    <row r="183" spans="1:32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</row>
    <row r="184" spans="1:32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</row>
    <row r="185" spans="1:32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</row>
    <row r="186" spans="1:32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</row>
    <row r="187" spans="1:32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</row>
    <row r="188" spans="1:32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</row>
    <row r="189" spans="1:32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</row>
    <row r="190" spans="1:32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</row>
    <row r="191" spans="1:32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</row>
    <row r="192" spans="1:32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</row>
    <row r="193" spans="1:32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</row>
    <row r="194" spans="1:32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</row>
    <row r="195" spans="1:32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</row>
    <row r="196" spans="1:32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</row>
    <row r="197" spans="1:32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</row>
    <row r="198" spans="1:32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</row>
    <row r="199" spans="1:32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</row>
    <row r="200" spans="1:32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</row>
    <row r="201" spans="1:32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</row>
    <row r="202" spans="1:32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</row>
    <row r="203" spans="1:32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</row>
    <row r="204" spans="1:32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</row>
    <row r="205" spans="1:32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</row>
    <row r="206" spans="1:32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</row>
    <row r="207" spans="1:32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</row>
    <row r="208" spans="1:32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</row>
    <row r="209" spans="1:32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</row>
    <row r="210" spans="1:32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</row>
    <row r="211" spans="1:32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</row>
    <row r="212" spans="1:32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</row>
    <row r="213" spans="1:32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</row>
    <row r="214" spans="1:32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</row>
    <row r="215" spans="1:32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</row>
    <row r="216" spans="1:32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</row>
    <row r="217" spans="1:32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</row>
    <row r="218" spans="1:32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</row>
    <row r="219" spans="1:32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</row>
    <row r="220" spans="1:32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</row>
    <row r="221" spans="1:32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</row>
    <row r="222" spans="1:32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</row>
    <row r="223" spans="1:32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</row>
    <row r="224" spans="1:32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</row>
    <row r="225" spans="1:32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</row>
    <row r="226" spans="1:32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</row>
    <row r="227" spans="1:32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</row>
    <row r="228" spans="1:32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</row>
    <row r="229" spans="1:32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</row>
    <row r="230" spans="1:32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</row>
    <row r="231" spans="1:32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</row>
    <row r="232" spans="1:32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</row>
    <row r="233" spans="1:32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</row>
    <row r="234" spans="1:32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</row>
    <row r="235" spans="1:32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2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</row>
    <row r="237" spans="1:32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</row>
    <row r="238" spans="1:32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</row>
    <row r="239" spans="1:32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</row>
    <row r="240" spans="1:32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</row>
    <row r="241" spans="1:32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</row>
    <row r="242" spans="1:32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</row>
    <row r="243" spans="1:32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</row>
    <row r="244" spans="1:32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</row>
    <row r="245" spans="1:32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</row>
    <row r="246" spans="1:32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</row>
    <row r="247" spans="1:32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</row>
    <row r="248" spans="1:32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</row>
    <row r="249" spans="1:32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</row>
    <row r="250" spans="1:32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</row>
    <row r="251" spans="1:32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</row>
    <row r="252" spans="1:32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</row>
    <row r="253" spans="1:32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</row>
    <row r="254" spans="1:32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</row>
    <row r="255" spans="1:32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</row>
    <row r="256" spans="1:32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</row>
    <row r="257" spans="1:32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</row>
    <row r="258" spans="1:32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</row>
    <row r="259" spans="1:32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</row>
    <row r="260" spans="1:32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</row>
    <row r="261" spans="1:32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</row>
    <row r="262" spans="1:32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</row>
    <row r="263" spans="1:32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</row>
    <row r="264" spans="1:32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</row>
    <row r="265" spans="1:32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</row>
    <row r="266" spans="1:32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</row>
    <row r="267" spans="1:32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</row>
    <row r="268" spans="1:32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</row>
    <row r="269" spans="1:32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</row>
    <row r="270" spans="1:32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</row>
    <row r="271" spans="1:32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</row>
    <row r="272" spans="1:32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</row>
    <row r="273" spans="1:32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</row>
    <row r="274" spans="1:32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</row>
    <row r="275" spans="1:32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</row>
    <row r="276" spans="1:32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</row>
    <row r="277" spans="1:32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</row>
    <row r="278" spans="1:32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</row>
    <row r="279" spans="1:32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</row>
    <row r="280" spans="1:32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</row>
    <row r="281" spans="1:32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</row>
    <row r="283" spans="1:32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</row>
    <row r="284" spans="1:32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</row>
    <row r="285" spans="1:32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</row>
    <row r="286" spans="1:32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</row>
    <row r="287" spans="1:32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</row>
    <row r="288" spans="1:32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</row>
    <row r="289" spans="1:32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</row>
    <row r="290" spans="1:32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</row>
    <row r="291" spans="1:32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</row>
    <row r="292" spans="1:32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</row>
    <row r="293" spans="1:32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</row>
    <row r="294" spans="1:32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</row>
    <row r="295" spans="1:32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</row>
    <row r="296" spans="1:32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</row>
    <row r="297" spans="1:32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</row>
    <row r="298" spans="1:32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</row>
    <row r="299" spans="1:32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</row>
    <row r="300" spans="1:32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</row>
    <row r="301" spans="1:32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</row>
    <row r="302" spans="1:32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</row>
    <row r="303" spans="1:32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</row>
    <row r="304" spans="1:32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</row>
    <row r="305" spans="1:32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</row>
    <row r="306" spans="1:32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</row>
    <row r="307" spans="1:32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</row>
    <row r="308" spans="1:32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</row>
    <row r="309" spans="1:32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</row>
    <row r="310" spans="1:32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</row>
    <row r="311" spans="1:32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</row>
    <row r="312" spans="1:32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</row>
    <row r="313" spans="1:32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</row>
    <row r="314" spans="1:32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</row>
    <row r="315" spans="1:32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</row>
    <row r="316" spans="1:32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</row>
    <row r="317" spans="1:32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</row>
    <row r="318" spans="1:32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</row>
    <row r="319" spans="1:32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</row>
    <row r="320" spans="1:32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</row>
    <row r="321" spans="1:32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</row>
    <row r="322" spans="1:32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</row>
    <row r="323" spans="1:32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</row>
    <row r="324" spans="1:32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</row>
    <row r="325" spans="1:32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</row>
    <row r="326" spans="1:32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</row>
    <row r="327" spans="1:32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</row>
    <row r="328" spans="1:32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</row>
    <row r="329" spans="1:32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</row>
    <row r="330" spans="1:32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</row>
    <row r="331" spans="1:32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</row>
    <row r="332" spans="1:32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</row>
    <row r="333" spans="1:32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</row>
    <row r="334" spans="1:32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</row>
    <row r="335" spans="1:32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</row>
    <row r="336" spans="1:32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</row>
    <row r="337" spans="1:32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</row>
    <row r="338" spans="1:32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</row>
    <row r="339" spans="1:32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</row>
    <row r="340" spans="1:32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</row>
    <row r="341" spans="1:32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</row>
    <row r="342" spans="1:32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</row>
    <row r="343" spans="1:32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</row>
    <row r="344" spans="1:32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</row>
    <row r="345" spans="1:32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</row>
    <row r="346" spans="1:32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</row>
    <row r="347" spans="1:32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</row>
    <row r="348" spans="1:32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</row>
    <row r="349" spans="1:32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</row>
    <row r="350" spans="1:32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</row>
    <row r="351" spans="1:32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</row>
    <row r="352" spans="1:32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</row>
    <row r="353" spans="1:32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</row>
    <row r="354" spans="1:32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</row>
    <row r="355" spans="1:32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</row>
    <row r="356" spans="1:32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</row>
    <row r="357" spans="1:32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</row>
    <row r="358" spans="1:32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</row>
    <row r="359" spans="1:32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</row>
    <row r="360" spans="1:32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</row>
    <row r="361" spans="1:32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</row>
    <row r="362" spans="1:32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</row>
    <row r="363" spans="1:32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</row>
    <row r="364" spans="1:32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</row>
    <row r="365" spans="1:32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</row>
    <row r="366" spans="1:32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</row>
    <row r="367" spans="1:32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</row>
    <row r="368" spans="1:32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</row>
    <row r="369" spans="1:32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</row>
    <row r="370" spans="1:32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</row>
    <row r="371" spans="1:32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</row>
    <row r="372" spans="1:32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</row>
    <row r="373" spans="1:32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</row>
    <row r="374" spans="1:32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</row>
    <row r="375" spans="1:32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</row>
    <row r="376" spans="1:32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</row>
    <row r="377" spans="1:32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</row>
    <row r="378" spans="1:32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</row>
    <row r="379" spans="1:32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</row>
    <row r="380" spans="1:32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</row>
    <row r="381" spans="1:32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</row>
    <row r="382" spans="1:32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</row>
    <row r="383" spans="1:32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</row>
    <row r="384" spans="1:32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</row>
    <row r="385" spans="1:32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</row>
    <row r="386" spans="1:32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</row>
    <row r="387" spans="1:32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</row>
    <row r="388" spans="1:32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</row>
    <row r="389" spans="1:32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</row>
    <row r="390" spans="1:32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</row>
    <row r="391" spans="1:32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</row>
    <row r="392" spans="1:32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</row>
    <row r="393" spans="1:32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</row>
    <row r="394" spans="1:32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</row>
    <row r="395" spans="1:32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</row>
    <row r="396" spans="1:32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</row>
    <row r="397" spans="1:32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</row>
    <row r="398" spans="1:32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</row>
    <row r="399" spans="1:32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</row>
    <row r="400" spans="1:32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</row>
    <row r="401" spans="1:32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</row>
    <row r="402" spans="1:32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</row>
    <row r="403" spans="1:32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</row>
    <row r="404" spans="1:32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</row>
    <row r="405" spans="1:32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</row>
    <row r="406" spans="1:32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</row>
    <row r="407" spans="1:32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</row>
    <row r="408" spans="1:32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</row>
    <row r="409" spans="1:32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</row>
    <row r="410" spans="1:32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</row>
    <row r="411" spans="1:32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</row>
    <row r="412" spans="1:32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</row>
    <row r="413" spans="1:32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</row>
    <row r="414" spans="1:32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</row>
    <row r="415" spans="1:32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</row>
    <row r="416" spans="1:32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</row>
    <row r="417" spans="1:32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</row>
    <row r="418" spans="1:32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</row>
    <row r="419" spans="1:32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</row>
    <row r="420" spans="1:32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</row>
    <row r="421" spans="1:32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</row>
    <row r="422" spans="1:32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</row>
    <row r="423" spans="1:32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</row>
    <row r="424" spans="1:32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</row>
    <row r="425" spans="1:32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</row>
    <row r="426" spans="1:32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</row>
    <row r="427" spans="1:32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</row>
    <row r="428" spans="1:32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</row>
    <row r="429" spans="1:32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</row>
    <row r="430" spans="1:32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</row>
    <row r="431" spans="1:32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</row>
    <row r="432" spans="1:32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</row>
    <row r="433" spans="1:32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</row>
    <row r="434" spans="1:32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</row>
    <row r="435" spans="1:32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</row>
    <row r="436" spans="1:32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</row>
    <row r="437" spans="1:32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</row>
    <row r="438" spans="1:32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</row>
    <row r="439" spans="1:32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</row>
    <row r="440" spans="1:32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</row>
    <row r="441" spans="1:32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</row>
    <row r="442" spans="1:32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</row>
    <row r="443" spans="1:32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</row>
    <row r="444" spans="1:32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</row>
    <row r="445" spans="1:32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</row>
    <row r="446" spans="1:32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</row>
    <row r="447" spans="1:32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</row>
    <row r="448" spans="1:32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</row>
    <row r="449" spans="1:32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</row>
    <row r="450" spans="1:32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</row>
    <row r="451" spans="1:32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</row>
    <row r="452" spans="1:32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</row>
    <row r="453" spans="1:32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</row>
    <row r="454" spans="1:32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</row>
    <row r="455" spans="1:32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</row>
    <row r="456" spans="1:32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</row>
    <row r="457" spans="1:32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</row>
    <row r="458" spans="1:32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</row>
    <row r="459" spans="1:32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</row>
    <row r="460" spans="1:32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</row>
    <row r="461" spans="1:32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</row>
    <row r="462" spans="1:32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</row>
    <row r="463" spans="1:32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</row>
    <row r="464" spans="1:32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</row>
    <row r="465" spans="1:32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</row>
    <row r="466" spans="1:32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</row>
    <row r="467" spans="1:32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</row>
    <row r="468" spans="1:32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</row>
    <row r="469" spans="1:32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</row>
    <row r="470" spans="1:32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</row>
    <row r="471" spans="1:32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</row>
    <row r="472" spans="1:32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</row>
    <row r="473" spans="1:32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</row>
    <row r="474" spans="1:32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</row>
    <row r="475" spans="1:32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</row>
    <row r="476" spans="1:32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</row>
    <row r="477" spans="1:32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</row>
    <row r="478" spans="1:32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</row>
    <row r="479" spans="1:32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</row>
    <row r="480" spans="1:32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</row>
    <row r="481" spans="1:32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</row>
    <row r="482" spans="1:32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</row>
    <row r="483" spans="1:32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</row>
    <row r="484" spans="1:32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</row>
    <row r="485" spans="1:32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</row>
    <row r="486" spans="1:32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</row>
    <row r="487" spans="1:32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</row>
    <row r="488" spans="1:32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</row>
    <row r="489" spans="1:32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</row>
    <row r="490" spans="1:32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</row>
    <row r="491" spans="1:32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</row>
    <row r="492" spans="1:32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</row>
    <row r="493" spans="1:32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</row>
    <row r="494" spans="1:32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</row>
    <row r="495" spans="1:32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</row>
    <row r="496" spans="1:32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</row>
    <row r="497" spans="1:32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</row>
    <row r="498" spans="1:32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</row>
    <row r="499" spans="1:32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</row>
    <row r="500" spans="1:32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</row>
    <row r="501" spans="1:32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</row>
    <row r="502" spans="1:32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</row>
    <row r="503" spans="1:32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</row>
    <row r="504" spans="1:32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</row>
    <row r="505" spans="1:32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</row>
    <row r="506" spans="1:32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</row>
    <row r="507" spans="1:32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</row>
    <row r="508" spans="1:32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</row>
    <row r="509" spans="1:32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</row>
    <row r="510" spans="1:32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</row>
    <row r="511" spans="1:32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</row>
    <row r="512" spans="1:32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</row>
    <row r="513" spans="1:32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</row>
    <row r="514" spans="1:32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</row>
    <row r="515" spans="1:32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</row>
    <row r="516" spans="1:32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</row>
    <row r="517" spans="1:32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</row>
    <row r="518" spans="1:32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</row>
    <row r="519" spans="1:32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</row>
    <row r="520" spans="1:32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</row>
    <row r="521" spans="1:32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</row>
    <row r="522" spans="1:32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</row>
    <row r="523" spans="1:32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</row>
    <row r="524" spans="1:32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</row>
    <row r="525" spans="1:32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</row>
    <row r="526" spans="1:32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</row>
    <row r="527" spans="1:32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</row>
    <row r="528" spans="1:32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</row>
    <row r="529" spans="1:32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</row>
    <row r="530" spans="1:32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</row>
    <row r="531" spans="1:32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</row>
    <row r="532" spans="1:32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</row>
    <row r="533" spans="1:32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</row>
    <row r="534" spans="1:32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</row>
    <row r="535" spans="1:32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</row>
    <row r="536" spans="1:32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</row>
    <row r="537" spans="1:32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</row>
    <row r="538" spans="1:32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</row>
    <row r="539" spans="1:32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</row>
    <row r="540" spans="1:32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</row>
    <row r="541" spans="1:32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</row>
    <row r="542" spans="1:32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</row>
    <row r="543" spans="1:32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</row>
    <row r="544" spans="1:32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</row>
    <row r="545" spans="1:32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</row>
    <row r="546" spans="1:32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</row>
    <row r="547" spans="1:32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</row>
    <row r="548" spans="1:32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</row>
    <row r="549" spans="1:32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</row>
    <row r="550" spans="1:32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</row>
    <row r="551" spans="1:32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</row>
    <row r="552" spans="1:32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</row>
    <row r="553" spans="1:32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</row>
    <row r="554" spans="1:32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</row>
    <row r="555" spans="1:32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</row>
    <row r="556" spans="1:32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</row>
    <row r="557" spans="1:32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</row>
    <row r="558" spans="1:32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</row>
    <row r="559" spans="1:32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</row>
    <row r="560" spans="1:32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</row>
    <row r="561" spans="1:32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</row>
    <row r="562" spans="1:32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</row>
    <row r="563" spans="1:32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</row>
    <row r="564" spans="1:32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</row>
    <row r="565" spans="1:32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</row>
    <row r="566" spans="1:32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</row>
    <row r="567" spans="1:32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</row>
    <row r="568" spans="1:32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</row>
    <row r="569" spans="1:32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</row>
    <row r="570" spans="1:32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</row>
    <row r="571" spans="1:32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</row>
    <row r="572" spans="1:32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</row>
    <row r="573" spans="1:32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</row>
    <row r="574" spans="1:32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</row>
    <row r="575" spans="1:32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</row>
    <row r="576" spans="1:32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</row>
    <row r="577" spans="1:32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</row>
    <row r="578" spans="1:32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</row>
    <row r="579" spans="1:32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</row>
    <row r="580" spans="1:32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</row>
    <row r="581" spans="1:32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</row>
    <row r="582" spans="1:32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</row>
    <row r="583" spans="1:32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</row>
    <row r="584" spans="1:32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</row>
    <row r="585" spans="1:32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</row>
    <row r="586" spans="1:32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</row>
    <row r="587" spans="1:32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</row>
    <row r="588" spans="1:32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</row>
    <row r="589" spans="1:32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</row>
    <row r="590" spans="1:32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</row>
    <row r="591" spans="1:32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</row>
    <row r="592" spans="1:32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</row>
    <row r="593" spans="1:32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</row>
    <row r="594" spans="1:32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</row>
    <row r="595" spans="1:32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</row>
    <row r="596" spans="1:32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</row>
    <row r="597" spans="1:32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</row>
    <row r="598" spans="1:32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</row>
    <row r="599" spans="1:32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</row>
    <row r="600" spans="1:32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</row>
    <row r="601" spans="1:32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</row>
    <row r="602" spans="1:32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</row>
    <row r="603" spans="1:32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</row>
    <row r="604" spans="1:32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</row>
    <row r="605" spans="1:32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</row>
    <row r="606" spans="1:32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</row>
    <row r="607" spans="1:32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</row>
    <row r="608" spans="1:32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</row>
    <row r="609" spans="1:32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</row>
    <row r="610" spans="1:32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</row>
    <row r="611" spans="1:32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</row>
    <row r="612" spans="1:32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</row>
    <row r="613" spans="1:32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</row>
    <row r="614" spans="1:32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</row>
    <row r="615" spans="1:32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</row>
    <row r="616" spans="1:32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</row>
    <row r="617" spans="1:32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</row>
    <row r="618" spans="1:32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</row>
    <row r="619" spans="1:32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</row>
    <row r="620" spans="1:32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</row>
    <row r="621" spans="1:32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</row>
    <row r="622" spans="1:32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</row>
    <row r="623" spans="1:32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</row>
    <row r="624" spans="1:32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</row>
    <row r="625" spans="1:32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</row>
    <row r="626" spans="1:32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</row>
    <row r="627" spans="1:32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</row>
    <row r="628" spans="1:32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</row>
    <row r="629" spans="1:32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</row>
    <row r="630" spans="1:32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</row>
    <row r="631" spans="1:32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</row>
    <row r="632" spans="1:32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</row>
    <row r="633" spans="1:32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</row>
    <row r="634" spans="1:32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</row>
    <row r="635" spans="1:32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</row>
    <row r="636" spans="1:32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</row>
    <row r="637" spans="1:32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</row>
    <row r="638" spans="1:32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</row>
    <row r="639" spans="1:32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</row>
    <row r="640" spans="1:32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</row>
    <row r="641" spans="1:32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</row>
    <row r="642" spans="1:32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</row>
    <row r="643" spans="1:32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</row>
    <row r="644" spans="1:32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</row>
    <row r="645" spans="1:32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</row>
    <row r="646" spans="1:32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</row>
    <row r="647" spans="1:32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</row>
    <row r="648" spans="1:32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</row>
    <row r="649" spans="1:32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</row>
    <row r="650" spans="1:32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</row>
    <row r="651" spans="1:32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</row>
    <row r="652" spans="1:32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</row>
    <row r="653" spans="1:32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</row>
    <row r="654" spans="1:32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</row>
    <row r="655" spans="1:32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</row>
    <row r="656" spans="1:32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</row>
    <row r="657" spans="1:32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</row>
    <row r="658" spans="1:32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</row>
    <row r="659" spans="1:32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</row>
    <row r="660" spans="1:32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</row>
    <row r="661" spans="1:32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</row>
    <row r="662" spans="1:32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</row>
    <row r="663" spans="1:32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</row>
    <row r="664" spans="1:32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</row>
    <row r="665" spans="1:32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</row>
    <row r="666" spans="1:32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</row>
    <row r="667" spans="1:32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</row>
    <row r="668" spans="1:32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</row>
    <row r="669" spans="1:32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</row>
    <row r="670" spans="1:32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</row>
    <row r="671" spans="1:32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</row>
    <row r="672" spans="1:32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</row>
    <row r="673" spans="1:32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</row>
    <row r="674" spans="1:32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</row>
    <row r="675" spans="1:32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</row>
    <row r="676" spans="1:32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</row>
    <row r="677" spans="1:32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</row>
    <row r="678" spans="1:32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</row>
    <row r="679" spans="1:32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</row>
    <row r="680" spans="1:32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</row>
    <row r="681" spans="1:32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</row>
    <row r="682" spans="1:32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</row>
    <row r="683" spans="1:32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</row>
    <row r="684" spans="1:32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</row>
    <row r="685" spans="1:32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</row>
    <row r="686" spans="1:32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</row>
    <row r="687" spans="1:32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</row>
    <row r="688" spans="1:32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</row>
    <row r="689" spans="1:32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</row>
    <row r="690" spans="1:32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</row>
    <row r="691" spans="1:32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</row>
    <row r="692" spans="1:32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</row>
    <row r="693" spans="1:32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</row>
    <row r="694" spans="1:32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</row>
    <row r="695" spans="1:32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</row>
    <row r="696" spans="1:32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</row>
    <row r="697" spans="1:32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</row>
    <row r="698" spans="1:32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</row>
    <row r="699" spans="1:32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</row>
    <row r="700" spans="1:32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</row>
    <row r="701" spans="1:32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</row>
    <row r="702" spans="1:32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</row>
    <row r="703" spans="1:32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</row>
    <row r="704" spans="1:32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</row>
    <row r="705" spans="1:32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</row>
    <row r="706" spans="1:32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</row>
    <row r="707" spans="1:32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</row>
    <row r="708" spans="1:32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</row>
    <row r="709" spans="1:32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</row>
    <row r="710" spans="1:32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</row>
    <row r="711" spans="1:32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</row>
    <row r="712" spans="1:32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</row>
    <row r="713" spans="1:32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</row>
    <row r="714" spans="1:32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</row>
    <row r="715" spans="1:32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</row>
    <row r="716" spans="1:32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</row>
    <row r="717" spans="1:32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</row>
    <row r="718" spans="1:32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</row>
    <row r="719" spans="1:32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</row>
    <row r="720" spans="1:32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</row>
    <row r="721" spans="1:32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</row>
    <row r="722" spans="1:32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</row>
    <row r="723" spans="1:32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</row>
    <row r="724" spans="1:32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</row>
    <row r="725" spans="1:32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</row>
    <row r="726" spans="1:32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</row>
    <row r="727" spans="1:32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</row>
    <row r="728" spans="1:32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</row>
    <row r="729" spans="1:32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</row>
    <row r="730" spans="1:32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</row>
    <row r="731" spans="1:32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</row>
    <row r="732" spans="1:32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</row>
    <row r="733" spans="1:32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</row>
    <row r="734" spans="1:32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</row>
    <row r="735" spans="1:32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</row>
    <row r="736" spans="1:32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</row>
    <row r="737" spans="1:32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</row>
    <row r="738" spans="1:32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</row>
    <row r="739" spans="1:32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</row>
    <row r="740" spans="1:32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</row>
    <row r="741" spans="1:32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</row>
    <row r="742" spans="1:32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</row>
    <row r="743" spans="1:32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</row>
    <row r="744" spans="1:32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</row>
    <row r="745" spans="1:32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</row>
    <row r="746" spans="1:32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</row>
    <row r="747" spans="1:32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</row>
    <row r="748" spans="1:32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</row>
    <row r="749" spans="1:32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</row>
    <row r="750" spans="1:32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</row>
    <row r="751" spans="1:32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</row>
    <row r="752" spans="1:32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</row>
    <row r="753" spans="1:32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</row>
    <row r="754" spans="1:32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</row>
    <row r="755" spans="1:32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</row>
    <row r="756" spans="1:32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</row>
    <row r="757" spans="1:32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</row>
    <row r="758" spans="1:32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</row>
    <row r="759" spans="1:32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</row>
    <row r="760" spans="1:32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</row>
    <row r="761" spans="1:32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</row>
    <row r="762" spans="1:32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</row>
    <row r="763" spans="1:32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</row>
    <row r="764" spans="1:32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</row>
    <row r="765" spans="1:32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</row>
    <row r="766" spans="1:32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</row>
    <row r="767" spans="1:32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</row>
    <row r="768" spans="1:32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</row>
    <row r="769" spans="1:32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</row>
    <row r="770" spans="1:32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</row>
    <row r="771" spans="1:32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</row>
    <row r="772" spans="1:32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</row>
    <row r="773" spans="1:32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</row>
    <row r="774" spans="1:32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</row>
    <row r="775" spans="1:32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</row>
    <row r="776" spans="1:32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</row>
    <row r="777" spans="1:32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</row>
    <row r="778" spans="1:32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</row>
    <row r="779" spans="1:32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</row>
    <row r="780" spans="1:32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</row>
    <row r="781" spans="1:32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</row>
    <row r="782" spans="1:32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</row>
    <row r="783" spans="1:32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</row>
    <row r="784" spans="1:32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</row>
    <row r="785" spans="1:32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</row>
    <row r="786" spans="1:32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</row>
    <row r="787" spans="1:32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</row>
    <row r="788" spans="1:32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</row>
    <row r="789" spans="1:32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</row>
    <row r="790" spans="1:32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</row>
    <row r="791" spans="1:32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</row>
    <row r="792" spans="1:32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</row>
    <row r="793" spans="1:32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</row>
    <row r="794" spans="1:32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</row>
    <row r="795" spans="1:32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</row>
    <row r="796" spans="1:32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</row>
    <row r="797" spans="1:32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</row>
    <row r="798" spans="1:32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</row>
    <row r="799" spans="1:32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</row>
    <row r="800" spans="1:32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</row>
    <row r="801" spans="1:32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</row>
    <row r="802" spans="1:32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</row>
    <row r="803" spans="1:32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</row>
    <row r="804" spans="1:32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</row>
    <row r="805" spans="1:32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</row>
    <row r="806" spans="1:32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</row>
    <row r="807" spans="1:32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</row>
    <row r="808" spans="1:32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</row>
    <row r="809" spans="1:32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</row>
    <row r="810" spans="1:32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</row>
    <row r="811" spans="1:32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</row>
    <row r="812" spans="1:32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</row>
    <row r="813" spans="1:32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</row>
    <row r="814" spans="1:32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</row>
    <row r="815" spans="1:32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</row>
    <row r="816" spans="1:32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</row>
    <row r="817" spans="1:32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</row>
    <row r="818" spans="1:32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</row>
    <row r="819" spans="1:32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</row>
    <row r="820" spans="1:32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</row>
    <row r="821" spans="1:32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</row>
    <row r="822" spans="1:32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</row>
    <row r="823" spans="1:32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</row>
    <row r="824" spans="1:32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</row>
    <row r="825" spans="1:32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</row>
    <row r="826" spans="1:32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</row>
    <row r="827" spans="1:32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</row>
    <row r="828" spans="1:32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</row>
    <row r="829" spans="1:32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</row>
    <row r="830" spans="1:32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</row>
    <row r="831" spans="1:32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</row>
    <row r="832" spans="1:32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</row>
    <row r="833" spans="1:32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</row>
    <row r="834" spans="1:32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</row>
    <row r="835" spans="1:32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</row>
    <row r="836" spans="1:32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</row>
    <row r="837" spans="1:32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</row>
    <row r="838" spans="1:32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</row>
    <row r="839" spans="1:32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</row>
    <row r="840" spans="1:32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</row>
    <row r="841" spans="1:32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</row>
    <row r="842" spans="1:32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</row>
    <row r="843" spans="1:32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</row>
    <row r="844" spans="1:32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</row>
    <row r="845" spans="1:32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</row>
    <row r="846" spans="1:32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</row>
    <row r="847" spans="1:32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</row>
    <row r="848" spans="1:32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</row>
    <row r="849" spans="1:32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</row>
    <row r="850" spans="1:32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</row>
    <row r="851" spans="1:32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</row>
    <row r="852" spans="1:32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</row>
    <row r="853" spans="1:32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</row>
    <row r="854" spans="1:32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</row>
    <row r="855" spans="1:32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</row>
    <row r="856" spans="1:32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</row>
    <row r="857" spans="1:32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</row>
    <row r="858" spans="1:32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</row>
    <row r="859" spans="1:32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</row>
    <row r="860" spans="1:32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</row>
    <row r="861" spans="1:32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</row>
    <row r="862" spans="1:32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</row>
    <row r="863" spans="1:32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</row>
    <row r="864" spans="1:32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</row>
    <row r="865" spans="1:32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</row>
    <row r="866" spans="1:32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</row>
    <row r="867" spans="1:32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</row>
    <row r="868" spans="1:32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</row>
    <row r="869" spans="1:32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</row>
    <row r="870" spans="1:32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</row>
    <row r="871" spans="1:32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</row>
    <row r="872" spans="1:32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</row>
    <row r="873" spans="1:32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</row>
    <row r="874" spans="1:32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</row>
    <row r="875" spans="1:32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</row>
    <row r="876" spans="1:32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</row>
    <row r="877" spans="1:32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</row>
    <row r="878" spans="1:32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</row>
    <row r="879" spans="1:32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</row>
    <row r="880" spans="1:32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</row>
    <row r="881" spans="1:32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</row>
    <row r="882" spans="1:32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</row>
    <row r="883" spans="1:32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</row>
    <row r="884" spans="1:32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</row>
    <row r="885" spans="1:32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</row>
    <row r="886" spans="1:32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</row>
    <row r="887" spans="1:32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</row>
    <row r="888" spans="1:32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</row>
    <row r="889" spans="1:32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</row>
    <row r="890" spans="1:32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</row>
    <row r="891" spans="1:32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</row>
    <row r="892" spans="1:32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</row>
    <row r="893" spans="1:32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</row>
    <row r="894" spans="1:32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</row>
    <row r="895" spans="1:32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</row>
    <row r="896" spans="1:32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</row>
    <row r="897" spans="1:32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</row>
    <row r="898" spans="1:32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</row>
    <row r="899" spans="1:32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</row>
    <row r="900" spans="1:32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</row>
    <row r="901" spans="1:32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</row>
    <row r="902" spans="1:32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</row>
    <row r="903" spans="1:32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</row>
    <row r="904" spans="1:32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</row>
    <row r="905" spans="1:32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</row>
    <row r="906" spans="1:32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</row>
    <row r="907" spans="1:32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</row>
    <row r="908" spans="1:32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</row>
    <row r="909" spans="1:32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</row>
    <row r="910" spans="1:32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</row>
    <row r="911" spans="1:32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</row>
    <row r="912" spans="1:32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</row>
    <row r="913" spans="1:32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</row>
    <row r="914" spans="1:32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</row>
    <row r="915" spans="1:32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</row>
    <row r="916" spans="1:32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</row>
    <row r="917" spans="1:32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</row>
    <row r="918" spans="1:32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</row>
    <row r="919" spans="1:32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</row>
    <row r="920" spans="1:32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</row>
    <row r="921" spans="1:32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</row>
    <row r="922" spans="1:32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</row>
    <row r="923" spans="1:32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</row>
    <row r="924" spans="1:32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</row>
    <row r="925" spans="1:32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</row>
    <row r="926" spans="1:32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</row>
    <row r="927" spans="1:32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</row>
    <row r="928" spans="1:32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</row>
    <row r="929" spans="1:32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</row>
    <row r="930" spans="1:32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</row>
    <row r="931" spans="1:32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</row>
    <row r="932" spans="1:32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</row>
    <row r="933" spans="1:32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</row>
    <row r="934" spans="1:32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</row>
    <row r="935" spans="1:32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</row>
    <row r="936" spans="1:32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</row>
    <row r="937" spans="1:32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</row>
    <row r="938" spans="1:32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</row>
    <row r="939" spans="1:32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</row>
    <row r="940" spans="1:32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</row>
    <row r="941" spans="1:32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</row>
    <row r="942" spans="1:32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</row>
    <row r="943" spans="1:32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</row>
    <row r="944" spans="1:32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</row>
    <row r="945" spans="1:32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</row>
    <row r="946" spans="1:32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</row>
    <row r="947" spans="1:32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</row>
    <row r="948" spans="1:32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</row>
    <row r="949" spans="1:32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</row>
    <row r="950" spans="1:32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</row>
    <row r="951" spans="1:32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</row>
    <row r="952" spans="1:32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</row>
    <row r="953" spans="1:32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</row>
    <row r="954" spans="1:32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</row>
    <row r="955" spans="1:32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</row>
    <row r="956" spans="1:32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</row>
    <row r="957" spans="1:32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</row>
    <row r="958" spans="1:32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</row>
    <row r="959" spans="1:32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</row>
    <row r="960" spans="1:32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</row>
    <row r="961" spans="1:32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</row>
    <row r="962" spans="1:32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</row>
    <row r="963" spans="1:32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</row>
    <row r="964" spans="1:32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</row>
    <row r="965" spans="1:32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</row>
    <row r="966" spans="1:32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</row>
    <row r="967" spans="1:32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</row>
    <row r="968" spans="1:32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</row>
    <row r="969" spans="1:32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</row>
    <row r="970" spans="1:32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</row>
    <row r="971" spans="1:32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</row>
    <row r="972" spans="1:32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</row>
    <row r="973" spans="1:32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</row>
    <row r="974" spans="1:32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</row>
    <row r="975" spans="1:32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</row>
    <row r="976" spans="1:32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</row>
    <row r="977" spans="1:32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</row>
    <row r="978" spans="1:32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</row>
    <row r="979" spans="1:32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</row>
    <row r="980" spans="1:32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</row>
    <row r="981" spans="1:32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</row>
    <row r="982" spans="1:32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</row>
    <row r="983" spans="1:32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</row>
    <row r="984" spans="1:32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</row>
    <row r="985" spans="1:32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</row>
    <row r="986" spans="1:32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</row>
    <row r="987" spans="1:32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</row>
    <row r="988" spans="1:32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</row>
    <row r="989" spans="1:32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</row>
    <row r="990" spans="1:32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</row>
    <row r="991" spans="1:32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</row>
    <row r="992" spans="1:32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</row>
    <row r="993" spans="1:32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</row>
    <row r="994" spans="1:32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</row>
    <row r="995" spans="1:32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</row>
    <row r="996" spans="1:32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</row>
    <row r="997" spans="1:32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</row>
    <row r="998" spans="1:32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</row>
    <row r="999" spans="1:32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</row>
    <row r="1000" spans="1:32" x14ac:dyDescent="0.2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</row>
  </sheetData>
  <mergeCells count="18">
    <mergeCell ref="A29:B29"/>
    <mergeCell ref="C30:D30"/>
    <mergeCell ref="C24:D24"/>
    <mergeCell ref="A25:B25"/>
    <mergeCell ref="A23:B23"/>
    <mergeCell ref="A27:B27"/>
    <mergeCell ref="A31:B31"/>
    <mergeCell ref="C23:D23"/>
    <mergeCell ref="C31:D31"/>
    <mergeCell ref="C25:D25"/>
    <mergeCell ref="C27:D27"/>
    <mergeCell ref="A28:B28"/>
    <mergeCell ref="C26:D26"/>
    <mergeCell ref="C28:D28"/>
    <mergeCell ref="A26:B26"/>
    <mergeCell ref="A30:B30"/>
    <mergeCell ref="A24:B24"/>
    <mergeCell ref="C29:D2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Character Sheet</vt:lpstr>
      <vt:lpstr>Beyonder Abilities</vt:lpstr>
      <vt:lpstr>Adventure Log</vt:lpstr>
      <vt:lpstr>Glossary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woshi</dc:creator>
  <cp:lastModifiedBy>Brody Bennett</cp:lastModifiedBy>
  <dcterms:created xsi:type="dcterms:W3CDTF">2023-03-15T04:34:00Z</dcterms:created>
  <dcterms:modified xsi:type="dcterms:W3CDTF">2026-01-27T06:22:52Z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88BA8DB49633463DB2497739D5030D41</vt:lpwstr>
  </property>
  <property fmtid="{D5CDD505-2E9C-101B-9397-08002B2CF9AE}" pid="3" name="KSOProductBuildVer">
    <vt:lpwstr>2052-11.1.0.14036</vt:lpwstr>
  </property>
  <property fmtid="{D5CDD505-2E9C-101B-9397-08002B2CF9AE}" pid="4" name="MSIP_Label_4044bd30-2ed7-4c9d-9d12-46200872a97b_Enabled">
    <vt:lpwstr>true</vt:lpwstr>
  </property>
  <property fmtid="{D5CDD505-2E9C-101B-9397-08002B2CF9AE}" pid="5" name="MSIP_Label_4044bd30-2ed7-4c9d-9d12-46200872a97b_SetDate">
    <vt:lpwstr>2023-04-26T22:25:47Z</vt:lpwstr>
  </property>
  <property fmtid="{D5CDD505-2E9C-101B-9397-08002B2CF9AE}" pid="6" name="MSIP_Label_4044bd30-2ed7-4c9d-9d12-46200872a97b_Method">
    <vt:lpwstr>Standard</vt:lpwstr>
  </property>
  <property fmtid="{D5CDD505-2E9C-101B-9397-08002B2CF9AE}" pid="7" name="MSIP_Label_4044bd30-2ed7-4c9d-9d12-46200872a97b_Name">
    <vt:lpwstr>defa4170-0d19-0005-0004-bc88714345d2</vt:lpwstr>
  </property>
  <property fmtid="{D5CDD505-2E9C-101B-9397-08002B2CF9AE}" pid="8" name="MSIP_Label_4044bd30-2ed7-4c9d-9d12-46200872a97b_SiteId">
    <vt:lpwstr>4130bd39-7c53-419c-b1e5-8758d6d63f21</vt:lpwstr>
  </property>
  <property fmtid="{D5CDD505-2E9C-101B-9397-08002B2CF9AE}" pid="9" name="MSIP_Label_4044bd30-2ed7-4c9d-9d12-46200872a97b_ActionId">
    <vt:lpwstr>6da22ca3-0b5b-49e3-8fb7-8e164f5cc697</vt:lpwstr>
  </property>
  <property fmtid="{D5CDD505-2E9C-101B-9397-08002B2CF9AE}" pid="10" name="MSIP_Label_4044bd30-2ed7-4c9d-9d12-46200872a97b_ContentBits">
    <vt:lpwstr>0</vt:lpwstr>
  </property>
</Properties>
</file>